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DOCS 2023\CursoAdminLog\Trabajos Practicos\"/>
    </mc:Choice>
  </mc:AlternateContent>
  <xr:revisionPtr revIDLastSave="0" documentId="13_ncr:1_{6834D517-269D-43E9-8E05-8333E9FE9F4B}" xr6:coauthVersionLast="47" xr6:coauthVersionMax="47" xr10:uidLastSave="{00000000-0000-0000-0000-000000000000}"/>
  <bookViews>
    <workbookView xWindow="828" yWindow="156" windowWidth="26100" windowHeight="15060" activeTab="3" xr2:uid="{1DDCF0EA-A87D-4CC3-AF76-8156EF176A4E}"/>
  </bookViews>
  <sheets>
    <sheet name="Ejercicio Centro de Gravedad" sheetId="1" r:id="rId1"/>
    <sheet name="Ejercicio Método Gibson y Brown" sheetId="2" r:id="rId2"/>
    <sheet name="Ejercicio 2 Método Centro de Gr" sheetId="4" r:id="rId3"/>
    <sheet name="Ejercicio 2 Método Gibson y Bro" sheetId="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3" i="3" l="1"/>
  <c r="N35" i="3"/>
  <c r="N36" i="3"/>
  <c r="N34" i="3"/>
  <c r="K11" i="3"/>
  <c r="O34" i="3" s="1"/>
  <c r="M34" i="3" s="1"/>
  <c r="O35" i="3"/>
  <c r="M35" i="3" s="1"/>
  <c r="O36" i="3"/>
  <c r="M36" i="3" s="1"/>
  <c r="O33" i="3"/>
  <c r="M33" i="3" s="1"/>
  <c r="P36" i="3"/>
  <c r="P35" i="3"/>
  <c r="P34" i="3"/>
  <c r="P33" i="3"/>
  <c r="H36" i="3"/>
  <c r="I36" i="3"/>
  <c r="J36" i="3"/>
  <c r="G36" i="3"/>
  <c r="K14" i="3"/>
  <c r="K12" i="3"/>
  <c r="K13" i="3"/>
  <c r="K10" i="3"/>
  <c r="L10" i="3"/>
  <c r="F19" i="3"/>
  <c r="F20" i="3"/>
  <c r="F21" i="3"/>
  <c r="F18" i="3"/>
  <c r="J11" i="3"/>
  <c r="J12" i="3"/>
  <c r="J13" i="3"/>
  <c r="J10" i="3"/>
  <c r="J10" i="4"/>
  <c r="J8" i="4"/>
  <c r="G14" i="4"/>
  <c r="F14" i="4"/>
  <c r="G12" i="4"/>
  <c r="F12" i="4"/>
  <c r="G8" i="4"/>
  <c r="G9" i="4"/>
  <c r="G10" i="4"/>
  <c r="G11" i="4"/>
  <c r="F8" i="4"/>
  <c r="F9" i="4"/>
  <c r="F10" i="4"/>
  <c r="F11" i="4"/>
  <c r="G7" i="4"/>
  <c r="F7" i="4"/>
  <c r="E12" i="4"/>
  <c r="F36" i="3"/>
  <c r="F28" i="3"/>
  <c r="R7" i="2"/>
  <c r="R29" i="2"/>
  <c r="R30" i="2"/>
  <c r="R31" i="2"/>
  <c r="R6" i="2"/>
  <c r="M15" i="2"/>
  <c r="M16" i="2"/>
  <c r="M17" i="2"/>
  <c r="M14" i="2"/>
  <c r="R28" i="2"/>
  <c r="N32" i="2"/>
  <c r="O32" i="2"/>
  <c r="P32" i="2"/>
  <c r="Q32" i="2"/>
  <c r="M32" i="2"/>
  <c r="M24" i="2"/>
  <c r="R9" i="2"/>
  <c r="R8" i="2"/>
  <c r="R10" i="2"/>
  <c r="Q7" i="2"/>
  <c r="Q8" i="2"/>
  <c r="Q9" i="2"/>
  <c r="Q6" i="2"/>
  <c r="H13" i="1"/>
  <c r="G13" i="1"/>
  <c r="H11" i="1"/>
  <c r="G11" i="1"/>
  <c r="F11" i="1"/>
  <c r="H7" i="1"/>
  <c r="H8" i="1"/>
  <c r="H9" i="1"/>
  <c r="H10" i="1"/>
  <c r="H6" i="1"/>
  <c r="G7" i="1"/>
  <c r="G8" i="1"/>
  <c r="G9" i="1"/>
  <c r="G10" i="1"/>
  <c r="G6" i="1"/>
</calcChain>
</file>

<file path=xl/sharedStrings.xml><?xml version="1.0" encoding="utf-8"?>
<sst xmlns="http://schemas.openxmlformats.org/spreadsheetml/2006/main" count="160" uniqueCount="72">
  <si>
    <t>UBICACIONES</t>
  </si>
  <si>
    <t>GALONES DE GASOLINA X MES</t>
  </si>
  <si>
    <t>DIY * Vi</t>
  </si>
  <si>
    <t>DIX * Vi</t>
  </si>
  <si>
    <t>X</t>
  </si>
  <si>
    <t>Y</t>
  </si>
  <si>
    <t>Concepción</t>
  </si>
  <si>
    <t>Talcahuano</t>
  </si>
  <si>
    <t>Chiguayante</t>
  </si>
  <si>
    <t>Coronel</t>
  </si>
  <si>
    <t>Lota</t>
  </si>
  <si>
    <t>SUMATORIAS</t>
  </si>
  <si>
    <t>Cx</t>
  </si>
  <si>
    <t>Cy</t>
  </si>
  <si>
    <t>CORDENADAS</t>
  </si>
  <si>
    <t>CUIDAD</t>
  </si>
  <si>
    <t>ENERGÍA ELÉCTRICA</t>
  </si>
  <si>
    <t>MATERIA PRIMA</t>
  </si>
  <si>
    <t>FACTORES CRITICOS</t>
  </si>
  <si>
    <t>FACTORES OBJETIVOS</t>
  </si>
  <si>
    <t>COSTO DE LOTE</t>
  </si>
  <si>
    <t>COSTO DE MATERIA PRIMA</t>
  </si>
  <si>
    <t>COSTO DE CONST.</t>
  </si>
  <si>
    <t>TOTAL</t>
  </si>
  <si>
    <t>A</t>
  </si>
  <si>
    <t>B</t>
  </si>
  <si>
    <t>D</t>
  </si>
  <si>
    <t>C</t>
  </si>
  <si>
    <t>COSTO DE Mtto</t>
  </si>
  <si>
    <t>FACTOR OBJETIVO</t>
  </si>
  <si>
    <t>FACTOR SUBJETIVO</t>
  </si>
  <si>
    <t>DISPONIBILIDAD DE MO</t>
  </si>
  <si>
    <t>SERVICIOS COMUNITARIOS</t>
  </si>
  <si>
    <t>CLIMA SOCIAL</t>
  </si>
  <si>
    <t>IMPACTO SOCIAL</t>
  </si>
  <si>
    <t>DEFICIENTE</t>
  </si>
  <si>
    <t>BUENO</t>
  </si>
  <si>
    <t>EXCELENTE</t>
  </si>
  <si>
    <t>PONDERACIÓN %</t>
  </si>
  <si>
    <t>CIUDAD A</t>
  </si>
  <si>
    <t>CIUDAD B</t>
  </si>
  <si>
    <t>CIUDAD C</t>
  </si>
  <si>
    <t>CIUDAD D</t>
  </si>
  <si>
    <t>IL</t>
  </si>
  <si>
    <t>VALOR BINARIO</t>
  </si>
  <si>
    <t>FACTOR BINARIO</t>
  </si>
  <si>
    <t>INFORMACIÓN</t>
  </si>
  <si>
    <t>PENCO</t>
  </si>
  <si>
    <t>TOMÉ</t>
  </si>
  <si>
    <t>DICHATO</t>
  </si>
  <si>
    <t>COELEMU</t>
  </si>
  <si>
    <t>RAFAEL</t>
  </si>
  <si>
    <t>VOLUMEN DE PRODUCTOS</t>
  </si>
  <si>
    <t>Cuando es factor crítico sin factibilidad en la ubicación</t>
  </si>
  <si>
    <t>Cuando el factor crítico con factibilidad en la ubicación</t>
  </si>
  <si>
    <t>VI</t>
  </si>
  <si>
    <t>CX=</t>
  </si>
  <si>
    <t>CY=</t>
  </si>
  <si>
    <t>COORDENADA</t>
  </si>
  <si>
    <t>Ct</t>
  </si>
  <si>
    <t>FO</t>
  </si>
  <si>
    <t>FS</t>
  </si>
  <si>
    <t>FC</t>
  </si>
  <si>
    <t>α=</t>
  </si>
  <si>
    <t>Indice de localizacion</t>
  </si>
  <si>
    <t>CIUDAD</t>
  </si>
  <si>
    <t>La ciudad B tiene mayor il</t>
  </si>
  <si>
    <t>por lo tanto la ciudad B tiene la mayor factibilidad para la instalacion de la empresa</t>
  </si>
  <si>
    <t>=$F18*(($K10*$L$24)+((1-$L$24)*H$36))</t>
  </si>
  <si>
    <t>=K10*$L$24</t>
  </si>
  <si>
    <t>=(1-$L$24)*(G$36)</t>
  </si>
  <si>
    <t>=F18*(O33+P33)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</si>
</sst>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 &quot;$&quot;* #,##0_ ;_ &quot;$&quot;* \-#,##0_ ;_ &quot;$&quot;* &quot;-&quot;_ ;_ @_ "/>
    <numFmt numFmtId="164" formatCode="0.0000"/>
    <numFmt numFmtId="165" formatCode="_ &quot;$&quot;* #,##0.0000_ ;_ &quot;$&quot;* \-#,##0.0000_ ;_ &quot;$&quot;* &quot;-&quot;????_ ;_ 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0" borderId="28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0" fillId="0" borderId="32" xfId="0" applyBorder="1"/>
    <xf numFmtId="0" fontId="0" fillId="0" borderId="3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36" xfId="0" applyBorder="1"/>
    <xf numFmtId="0" fontId="0" fillId="0" borderId="37" xfId="0" applyBorder="1"/>
    <xf numFmtId="0" fontId="0" fillId="0" borderId="31" xfId="0" applyBorder="1"/>
    <xf numFmtId="0" fontId="1" fillId="3" borderId="12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2" borderId="12" xfId="0" applyFont="1" applyFill="1" applyBorder="1" applyAlignment="1">
      <alignment horizontal="center" vertical="center" wrapText="1"/>
    </xf>
    <xf numFmtId="42" fontId="0" fillId="5" borderId="1" xfId="0" applyNumberForma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2" borderId="33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42" fontId="0" fillId="5" borderId="15" xfId="0" applyNumberFormat="1" applyFill="1" applyBorder="1" applyAlignment="1">
      <alignment horizontal="center"/>
    </xf>
    <xf numFmtId="42" fontId="0" fillId="5" borderId="16" xfId="0" applyNumberFormat="1" applyFill="1" applyBorder="1" applyAlignment="1">
      <alignment horizontal="center"/>
    </xf>
    <xf numFmtId="0" fontId="0" fillId="0" borderId="41" xfId="0" applyBorder="1"/>
    <xf numFmtId="0" fontId="0" fillId="0" borderId="3" xfId="0" applyBorder="1"/>
    <xf numFmtId="0" fontId="1" fillId="3" borderId="21" xfId="0" applyFont="1" applyFill="1" applyBorder="1" applyAlignment="1">
      <alignment horizontal="center" vertical="center" wrapText="1"/>
    </xf>
    <xf numFmtId="42" fontId="0" fillId="0" borderId="22" xfId="0" applyNumberFormat="1" applyBorder="1" applyAlignment="1">
      <alignment horizontal="center"/>
    </xf>
    <xf numFmtId="42" fontId="0" fillId="0" borderId="23" xfId="0" applyNumberForma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9" fontId="0" fillId="0" borderId="36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7" xfId="0" applyNumberFormat="1" applyBorder="1" applyAlignment="1">
      <alignment horizontal="center"/>
    </xf>
    <xf numFmtId="9" fontId="0" fillId="0" borderId="31" xfId="0" applyNumberFormat="1" applyBorder="1" applyAlignment="1">
      <alignment horizontal="center"/>
    </xf>
    <xf numFmtId="9" fontId="0" fillId="0" borderId="41" xfId="0" applyNumberFormat="1" applyBorder="1" applyAlignment="1">
      <alignment horizontal="center"/>
    </xf>
    <xf numFmtId="9" fontId="0" fillId="0" borderId="32" xfId="0" applyNumberFormat="1" applyBorder="1" applyAlignment="1">
      <alignment horizontal="center"/>
    </xf>
    <xf numFmtId="9" fontId="0" fillId="0" borderId="38" xfId="0" applyNumberFormat="1" applyBorder="1" applyAlignment="1">
      <alignment horizontal="center"/>
    </xf>
    <xf numFmtId="9" fontId="0" fillId="0" borderId="39" xfId="0" applyNumberFormat="1" applyBorder="1" applyAlignment="1">
      <alignment horizontal="center"/>
    </xf>
    <xf numFmtId="9" fontId="0" fillId="0" borderId="29" xfId="0" applyNumberFormat="1" applyBorder="1" applyAlignment="1">
      <alignment horizontal="center"/>
    </xf>
    <xf numFmtId="9" fontId="1" fillId="0" borderId="4" xfId="0" applyNumberFormat="1" applyFont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9" fontId="0" fillId="6" borderId="7" xfId="0" applyNumberFormat="1" applyFill="1" applyBorder="1" applyAlignment="1">
      <alignment horizontal="center"/>
    </xf>
    <xf numFmtId="0" fontId="0" fillId="6" borderId="36" xfId="0" applyFill="1" applyBorder="1"/>
    <xf numFmtId="0" fontId="0" fillId="6" borderId="37" xfId="0" applyFill="1" applyBorder="1"/>
    <xf numFmtId="9" fontId="0" fillId="6" borderId="36" xfId="0" applyNumberFormat="1" applyFill="1" applyBorder="1" applyAlignment="1">
      <alignment horizontal="center"/>
    </xf>
    <xf numFmtId="0" fontId="0" fillId="6" borderId="31" xfId="0" applyFill="1" applyBorder="1"/>
    <xf numFmtId="0" fontId="0" fillId="6" borderId="32" xfId="0" applyFill="1" applyBorder="1"/>
    <xf numFmtId="9" fontId="0" fillId="6" borderId="31" xfId="0" applyNumberFormat="1" applyFill="1" applyBorder="1" applyAlignment="1">
      <alignment horizontal="center"/>
    </xf>
    <xf numFmtId="9" fontId="1" fillId="6" borderId="4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9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9" fontId="1" fillId="5" borderId="4" xfId="0" applyNumberFormat="1" applyFont="1" applyFill="1" applyBorder="1" applyAlignment="1">
      <alignment horizontal="center"/>
    </xf>
    <xf numFmtId="9" fontId="1" fillId="5" borderId="5" xfId="0" applyNumberFormat="1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/>
    </xf>
    <xf numFmtId="164" fontId="1" fillId="5" borderId="1" xfId="0" applyNumberFormat="1" applyFont="1" applyFill="1" applyBorder="1"/>
    <xf numFmtId="0" fontId="1" fillId="0" borderId="1" xfId="0" applyFont="1" applyBorder="1"/>
    <xf numFmtId="0" fontId="1" fillId="0" borderId="38" xfId="0" applyFont="1" applyBorder="1" applyAlignment="1">
      <alignment horizontal="center" wrapText="1"/>
    </xf>
    <xf numFmtId="0" fontId="1" fillId="0" borderId="29" xfId="0" applyFont="1" applyBorder="1" applyAlignment="1">
      <alignment horizontal="center"/>
    </xf>
    <xf numFmtId="0" fontId="1" fillId="8" borderId="22" xfId="0" applyFont="1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1" fillId="0" borderId="42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Fill="1" applyBorder="1"/>
    <xf numFmtId="2" fontId="0" fillId="0" borderId="1" xfId="0" applyNumberFormat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0" fontId="0" fillId="0" borderId="0" xfId="0" quotePrefix="1"/>
    <xf numFmtId="0" fontId="1" fillId="9" borderId="3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42" fontId="0" fillId="10" borderId="22" xfId="0" applyNumberFormat="1" applyFill="1" applyBorder="1" applyAlignment="1">
      <alignment horizontal="center"/>
    </xf>
    <xf numFmtId="9" fontId="1" fillId="10" borderId="4" xfId="0" applyNumberFormat="1" applyFont="1" applyFill="1" applyBorder="1" applyAlignment="1">
      <alignment horizontal="center"/>
    </xf>
    <xf numFmtId="0" fontId="2" fillId="0" borderId="5" xfId="0" applyFont="1" applyFill="1" applyBorder="1" applyAlignment="1">
      <alignment horizontal="right"/>
    </xf>
    <xf numFmtId="0" fontId="1" fillId="0" borderId="6" xfId="0" applyFont="1" applyFill="1" applyBorder="1" applyAlignment="1">
      <alignment horizontal="left"/>
    </xf>
    <xf numFmtId="164" fontId="0" fillId="10" borderId="3" xfId="0" applyNumberFormat="1" applyFill="1" applyBorder="1"/>
    <xf numFmtId="164" fontId="1" fillId="10" borderId="1" xfId="0" applyNumberFormat="1" applyFont="1" applyFill="1" applyBorder="1" applyAlignment="1">
      <alignment horizontal="center"/>
    </xf>
    <xf numFmtId="164" fontId="1" fillId="0" borderId="38" xfId="0" applyNumberFormat="1" applyFont="1" applyBorder="1"/>
    <xf numFmtId="164" fontId="0" fillId="0" borderId="0" xfId="0" applyNumberFormat="1" applyFill="1" applyBorder="1" applyAlignment="1">
      <alignment horizontal="right"/>
    </xf>
    <xf numFmtId="9" fontId="1" fillId="10" borderId="5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/>
    <xf numFmtId="9" fontId="0" fillId="0" borderId="0" xfId="0" applyNumberFormat="1" applyBorder="1" applyAlignment="1">
      <alignment horizontal="center"/>
    </xf>
    <xf numFmtId="164" fontId="1" fillId="0" borderId="4" xfId="0" applyNumberFormat="1" applyFont="1" applyBorder="1"/>
    <xf numFmtId="0" fontId="1" fillId="0" borderId="42" xfId="0" applyFont="1" applyBorder="1" applyAlignment="1">
      <alignment horizontal="center"/>
    </xf>
    <xf numFmtId="0" fontId="1" fillId="0" borderId="30" xfId="0" applyFont="1" applyBorder="1"/>
    <xf numFmtId="0" fontId="1" fillId="0" borderId="1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164" fontId="1" fillId="11" borderId="38" xfId="0" applyNumberFormat="1" applyFont="1" applyFill="1" applyBorder="1"/>
    <xf numFmtId="0" fontId="1" fillId="0" borderId="0" xfId="0" applyFont="1" applyFill="1" applyBorder="1" applyAlignment="1">
      <alignment horizontal="left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 wrapText="1"/>
    </xf>
    <xf numFmtId="0" fontId="1" fillId="4" borderId="35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1" fillId="7" borderId="5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9" fontId="1" fillId="10" borderId="2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'Ejercicio 2 Método Centro de Gr'!$C$19</c:f>
              <c:strCache>
                <c:ptCount val="1"/>
                <c:pt idx="0">
                  <c:v>X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'Ejercicio 2 Método Centro de Gr'!$B$20:$B$25</c:f>
              <c:strCache>
                <c:ptCount val="6"/>
                <c:pt idx="0">
                  <c:v>PENCO</c:v>
                </c:pt>
                <c:pt idx="1">
                  <c:v>TOMÉ</c:v>
                </c:pt>
                <c:pt idx="2">
                  <c:v>DICHATO</c:v>
                </c:pt>
                <c:pt idx="3">
                  <c:v>COELEMU</c:v>
                </c:pt>
                <c:pt idx="4">
                  <c:v>RAFAEL</c:v>
                </c:pt>
                <c:pt idx="5">
                  <c:v>COORDENADA</c:v>
                </c:pt>
              </c:strCache>
            </c:strRef>
          </c:cat>
          <c:val>
            <c:numRef>
              <c:f>'Ejercicio 2 Método Centro de Gr'!$C$20:$C$25</c:f>
              <c:numCache>
                <c:formatCode>0.00</c:formatCode>
                <c:ptCount val="6"/>
                <c:pt idx="0">
                  <c:v>63.2</c:v>
                </c:pt>
                <c:pt idx="1">
                  <c:v>28.1</c:v>
                </c:pt>
                <c:pt idx="2">
                  <c:v>36.200000000000003</c:v>
                </c:pt>
                <c:pt idx="3">
                  <c:v>78.5</c:v>
                </c:pt>
                <c:pt idx="4">
                  <c:v>42.8</c:v>
                </c:pt>
                <c:pt idx="5">
                  <c:v>51.891235758106923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D-4F3F-8935-6A86EC4392AE}"/>
            </c:ext>
          </c:extLst>
        </c:ser>
        <c:ser>
          <c:idx val="1"/>
          <c:order val="1"/>
          <c:tx>
            <c:strRef>
              <c:f>'Ejercicio 2 Método Centro de Gr'!$D$19</c:f>
              <c:strCache>
                <c:ptCount val="1"/>
                <c:pt idx="0">
                  <c:v>Y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'Ejercicio 2 Método Centro de Gr'!$B$20:$B$25</c:f>
              <c:strCache>
                <c:ptCount val="6"/>
                <c:pt idx="0">
                  <c:v>PENCO</c:v>
                </c:pt>
                <c:pt idx="1">
                  <c:v>TOMÉ</c:v>
                </c:pt>
                <c:pt idx="2">
                  <c:v>DICHATO</c:v>
                </c:pt>
                <c:pt idx="3">
                  <c:v>COELEMU</c:v>
                </c:pt>
                <c:pt idx="4">
                  <c:v>RAFAEL</c:v>
                </c:pt>
                <c:pt idx="5">
                  <c:v>COORDENADA</c:v>
                </c:pt>
              </c:strCache>
            </c:strRef>
          </c:cat>
          <c:val>
            <c:numRef>
              <c:f>'Ejercicio 2 Método Centro de Gr'!$D$20:$D$25</c:f>
              <c:numCache>
                <c:formatCode>0.00</c:formatCode>
                <c:ptCount val="6"/>
                <c:pt idx="0">
                  <c:v>5.2</c:v>
                </c:pt>
                <c:pt idx="1">
                  <c:v>4.8</c:v>
                </c:pt>
                <c:pt idx="2">
                  <c:v>2.6</c:v>
                </c:pt>
                <c:pt idx="3">
                  <c:v>3.8</c:v>
                </c:pt>
                <c:pt idx="4">
                  <c:v>7.8</c:v>
                </c:pt>
                <c:pt idx="5">
                  <c:v>4.9481156879929884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D-4F3F-8935-6A86EC439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323696"/>
        <c:axId val="1735334512"/>
      </c:radarChart>
      <c:catAx>
        <c:axId val="173532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35334512"/>
        <c:crosses val="autoZero"/>
        <c:auto val="1"/>
        <c:lblAlgn val="ctr"/>
        <c:lblOffset val="100"/>
        <c:noMultiLvlLbl val="0"/>
      </c:catAx>
      <c:valAx>
        <c:axId val="173533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3532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43815</xdr:colOff>
      <xdr:row>1</xdr:row>
      <xdr:rowOff>59055</xdr:rowOff>
    </xdr:from>
    <xdr:to>
      <xdr:col>17</xdr:col>
      <xdr:colOff>284414</xdr:colOff>
      <xdr:row>9</xdr:row>
      <xdr:rowOff>135411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BE7EE25-E51D-3068-3FBC-E4A1B1D28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01865" y="240030"/>
          <a:ext cx="6565199" cy="1800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712471</xdr:colOff>
      <xdr:row>2</xdr:row>
      <xdr:rowOff>18131</xdr:rowOff>
    </xdr:from>
    <xdr:to>
      <xdr:col>8</xdr:col>
      <xdr:colOff>247650</xdr:colOff>
      <xdr:row>15</xdr:row>
      <xdr:rowOff>72713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9FD77DD-4931-AFDB-C728-8B3F90087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2471" y="380081"/>
          <a:ext cx="5850254" cy="3051318"/>
        </a:xfrm>
        <a:prstGeom prst="rect">
          <a:avLst/>
        </a:prstGeom>
      </xdr:spPr>
    </xdr:pic>
    <xdr:clientData/>
  </xdr:twoCellAnchor>
  <xdr:twoCellAnchor editAs="oneCell">
    <xdr:from>
      <xdr:col>0</xdr:col>
      <xdr:colOff>704850</xdr:colOff>
      <xdr:row>17</xdr:row>
      <xdr:rowOff>171450</xdr:rowOff>
    </xdr:from>
    <xdr:to>
      <xdr:col>9</xdr:col>
      <xdr:colOff>473036</xdr:colOff>
      <xdr:row>31</xdr:row>
      <xdr:rowOff>93565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281FFB8-01DC-810B-2AFF-3537E66A1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3667125"/>
          <a:ext cx="6877646" cy="2539585"/>
        </a:xfrm>
        <a:prstGeom prst="rect">
          <a:avLst/>
        </a:prstGeom>
      </xdr:spPr>
    </xdr:pic>
    <xdr:clientData/>
  </xdr:twoCellAnchor>
  <xdr:twoCellAnchor editAs="oneCell">
    <xdr:from>
      <xdr:col>0</xdr:col>
      <xdr:colOff>621029</xdr:colOff>
      <xdr:row>33</xdr:row>
      <xdr:rowOff>129540</xdr:rowOff>
    </xdr:from>
    <xdr:to>
      <xdr:col>9</xdr:col>
      <xdr:colOff>533399</xdr:colOff>
      <xdr:row>43</xdr:row>
      <xdr:rowOff>135413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374DDA3-FFC1-BB93-2F55-1660219B1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1029" y="6597015"/>
          <a:ext cx="7027545" cy="1823243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33</xdr:row>
      <xdr:rowOff>0</xdr:rowOff>
    </xdr:from>
    <xdr:to>
      <xdr:col>17</xdr:col>
      <xdr:colOff>0</xdr:colOff>
      <xdr:row>44</xdr:row>
      <xdr:rowOff>87986</xdr:rowOff>
    </xdr:to>
    <xdr:sp macro="" textlink="">
      <xdr:nvSpPr>
        <xdr:cNvPr id="6" name="CuadroTexto 6">
          <a:extLst>
            <a:ext uri="{FF2B5EF4-FFF2-40B4-BE49-F238E27FC236}">
              <a16:creationId xmlns:a16="http://schemas.microsoft.com/office/drawing/2014/main" id="{DE2CF1DB-908F-8796-5CF3-7B8D0461BE71}"/>
            </a:ext>
          </a:extLst>
        </xdr:cNvPr>
        <xdr:cNvSpPr txBox="1"/>
      </xdr:nvSpPr>
      <xdr:spPr>
        <a:xfrm>
          <a:off x="7905750" y="7553325"/>
          <a:ext cx="5934075" cy="2078711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50000"/>
            </a:lnSpc>
          </a:pPr>
          <a:r>
            <a:rPr lang="es-ES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El siguiente paso corresponde a la combinación de los factores críticos, objetivos y subjetivos mediante la fórmula del algoritmo sinérgico:</a:t>
          </a:r>
        </a:p>
        <a:p>
          <a:pPr>
            <a:lnSpc>
              <a:spcPct val="150000"/>
            </a:lnSpc>
          </a:pPr>
          <a:endParaRPr lang="es-ES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>
            <a:lnSpc>
              <a:spcPct val="150000"/>
            </a:lnSpc>
          </a:pPr>
          <a:endParaRPr lang="es-ES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>
            <a:lnSpc>
              <a:spcPct val="150000"/>
            </a:lnSpc>
          </a:pPr>
          <a:r>
            <a:rPr lang="es-ES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Donde alfa equivale al nivel de confiabilidad, en nuestro ejemplo será del 80%, es decir que alfa equivale a 0,8</a:t>
          </a:r>
          <a:r>
            <a:rPr lang="es-ES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.</a:t>
          </a:r>
          <a:endParaRPr lang="es-CL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10</xdr:col>
      <xdr:colOff>83820</xdr:colOff>
      <xdr:row>37</xdr:row>
      <xdr:rowOff>53341</xdr:rowOff>
    </xdr:from>
    <xdr:to>
      <xdr:col>16</xdr:col>
      <xdr:colOff>2569</xdr:colOff>
      <xdr:row>39</xdr:row>
      <xdr:rowOff>172686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C723CE4-4879-5F75-AC1F-5B962374A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89570" y="8330566"/>
          <a:ext cx="5212080" cy="469864"/>
        </a:xfrm>
        <a:prstGeom prst="rect">
          <a:avLst/>
        </a:prstGeom>
      </xdr:spPr>
    </xdr:pic>
    <xdr:clientData/>
  </xdr:twoCellAnchor>
  <xdr:twoCellAnchor editAs="oneCell">
    <xdr:from>
      <xdr:col>10</xdr:col>
      <xdr:colOff>54646</xdr:colOff>
      <xdr:row>33</xdr:row>
      <xdr:rowOff>43923</xdr:rowOff>
    </xdr:from>
    <xdr:to>
      <xdr:col>17</xdr:col>
      <xdr:colOff>781787</xdr:colOff>
      <xdr:row>51</xdr:row>
      <xdr:rowOff>132847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2F2C07E-2884-37FF-E229-76B5A1E00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09" y="6775636"/>
          <a:ext cx="6807195" cy="3360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10758</xdr:colOff>
      <xdr:row>4</xdr:row>
      <xdr:rowOff>114300</xdr:rowOff>
    </xdr:from>
    <xdr:to>
      <xdr:col>12</xdr:col>
      <xdr:colOff>336626</xdr:colOff>
      <xdr:row>6</xdr:row>
      <xdr:rowOff>60960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9126DE-A32C-4419-9BAA-CF85B82E1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9198" y="853440"/>
          <a:ext cx="2977628" cy="693420"/>
        </a:xfrm>
        <a:prstGeom prst="rect">
          <a:avLst/>
        </a:prstGeom>
      </xdr:spPr>
    </xdr:pic>
    <xdr:clientData/>
  </xdr:twoCellAnchor>
  <xdr:twoCellAnchor>
    <xdr:from>
      <xdr:col>13</xdr:col>
      <xdr:colOff>746760</xdr:colOff>
      <xdr:row>4</xdr:row>
      <xdr:rowOff>160020</xdr:rowOff>
    </xdr:from>
    <xdr:to>
      <xdr:col>21</xdr:col>
      <xdr:colOff>739140</xdr:colOff>
      <xdr:row>26</xdr:row>
      <xdr:rowOff>121920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9D0067A-15D7-405C-A0A2-4FB65594B6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259080</xdr:colOff>
      <xdr:row>2</xdr:row>
      <xdr:rowOff>160019</xdr:rowOff>
    </xdr:from>
    <xdr:to>
      <xdr:col>13</xdr:col>
      <xdr:colOff>426720</xdr:colOff>
      <xdr:row>6</xdr:row>
      <xdr:rowOff>104594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BA91A3F-CD91-4377-B3D5-24E94437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1540" y="525779"/>
          <a:ext cx="2240280" cy="676095"/>
        </a:xfrm>
        <a:prstGeom prst="rect">
          <a:avLst/>
        </a:prstGeom>
      </xdr:spPr>
    </xdr:pic>
    <xdr:clientData/>
  </xdr:twoCellAnchor>
  <xdr:twoCellAnchor editAs="oneCell">
    <xdr:from>
      <xdr:col>10</xdr:col>
      <xdr:colOff>422227</xdr:colOff>
      <xdr:row>26</xdr:row>
      <xdr:rowOff>114300</xdr:rowOff>
    </xdr:from>
    <xdr:to>
      <xdr:col>14</xdr:col>
      <xdr:colOff>728003</xdr:colOff>
      <xdr:row>28</xdr:row>
      <xdr:rowOff>147329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DA0F8C4-EF95-47E2-82D1-54345BE1F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74687" y="5600700"/>
          <a:ext cx="2919436" cy="4140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CA1E5-A381-4FFC-86A5-7D92D096BFC8}">
  <dimension ref="C3:H13"/>
  <sheetViews>
    <sheetView workbookViewId="0">
      <selection activeCell="F6" sqref="F6"/>
    </sheetView>
  </sheetViews>
  <sheetFormatPr baseColWidth="10" defaultRowHeight="14.4" x14ac:dyDescent="0.3"/>
  <cols>
    <col min="3" max="3" width="15.44140625" customWidth="1"/>
    <col min="4" max="4" width="7" customWidth="1"/>
    <col min="5" max="5" width="6.5546875" customWidth="1"/>
    <col min="6" max="7" width="15.44140625" customWidth="1"/>
  </cols>
  <sheetData>
    <row r="3" spans="3:8" ht="15" thickBot="1" x14ac:dyDescent="0.35"/>
    <row r="4" spans="3:8" ht="15" thickBot="1" x14ac:dyDescent="0.35">
      <c r="D4" s="138" t="s">
        <v>14</v>
      </c>
      <c r="E4" s="139"/>
    </row>
    <row r="5" spans="3:8" ht="34.200000000000003" customHeight="1" thickBot="1" x14ac:dyDescent="0.35">
      <c r="C5" s="1" t="s">
        <v>0</v>
      </c>
      <c r="D5" s="2" t="s">
        <v>4</v>
      </c>
      <c r="E5" s="2" t="s">
        <v>5</v>
      </c>
      <c r="F5" s="17" t="s">
        <v>1</v>
      </c>
      <c r="G5" s="17" t="s">
        <v>3</v>
      </c>
      <c r="H5" s="18" t="s">
        <v>2</v>
      </c>
    </row>
    <row r="6" spans="3:8" x14ac:dyDescent="0.3">
      <c r="C6" s="5" t="s">
        <v>6</v>
      </c>
      <c r="D6" s="8">
        <v>58.7</v>
      </c>
      <c r="E6" s="11">
        <v>4.4000000000000004</v>
      </c>
      <c r="F6" s="14">
        <v>3800</v>
      </c>
      <c r="G6" s="20">
        <f>D6*F6</f>
        <v>223060</v>
      </c>
      <c r="H6" s="3">
        <f>E6*F6</f>
        <v>16720</v>
      </c>
    </row>
    <row r="7" spans="3:8" x14ac:dyDescent="0.3">
      <c r="C7" s="6" t="s">
        <v>7</v>
      </c>
      <c r="D7" s="9">
        <v>26.2</v>
      </c>
      <c r="E7" s="12">
        <v>5.2</v>
      </c>
      <c r="F7" s="15">
        <v>2700</v>
      </c>
      <c r="G7" s="21">
        <f t="shared" ref="G7:G10" si="0">D7*F7</f>
        <v>70740</v>
      </c>
      <c r="H7" s="4">
        <f t="shared" ref="H7:H10" si="1">E7*F7</f>
        <v>14040</v>
      </c>
    </row>
    <row r="8" spans="3:8" x14ac:dyDescent="0.3">
      <c r="C8" s="6" t="s">
        <v>8</v>
      </c>
      <c r="D8" s="9">
        <v>32.9</v>
      </c>
      <c r="E8" s="12">
        <v>3.8</v>
      </c>
      <c r="F8" s="15">
        <v>310</v>
      </c>
      <c r="G8" s="21">
        <f t="shared" si="0"/>
        <v>10199</v>
      </c>
      <c r="H8" s="4">
        <f t="shared" si="1"/>
        <v>1178</v>
      </c>
    </row>
    <row r="9" spans="3:8" x14ac:dyDescent="0.3">
      <c r="C9" s="6" t="s">
        <v>9</v>
      </c>
      <c r="D9" s="9">
        <v>42.5</v>
      </c>
      <c r="E9" s="12">
        <v>4.0999999999999996</v>
      </c>
      <c r="F9" s="15">
        <v>420</v>
      </c>
      <c r="G9" s="21">
        <f t="shared" si="0"/>
        <v>17850</v>
      </c>
      <c r="H9" s="4">
        <f t="shared" si="1"/>
        <v>1721.9999999999998</v>
      </c>
    </row>
    <row r="10" spans="3:8" ht="15" thickBot="1" x14ac:dyDescent="0.35">
      <c r="C10" s="7" t="s">
        <v>10</v>
      </c>
      <c r="D10" s="10">
        <v>36.4</v>
      </c>
      <c r="E10" s="13">
        <v>6.2</v>
      </c>
      <c r="F10" s="16">
        <v>250</v>
      </c>
      <c r="G10" s="22">
        <f t="shared" si="0"/>
        <v>9100</v>
      </c>
      <c r="H10" s="24">
        <f t="shared" si="1"/>
        <v>1550</v>
      </c>
    </row>
    <row r="11" spans="3:8" ht="15" thickBot="1" x14ac:dyDescent="0.35">
      <c r="C11" s="140" t="s">
        <v>11</v>
      </c>
      <c r="D11" s="141"/>
      <c r="E11" s="141"/>
      <c r="F11" s="25">
        <f>SUM(F6:F10)</f>
        <v>7480</v>
      </c>
      <c r="G11" s="25">
        <f>SUM(G6:G10)</f>
        <v>330949</v>
      </c>
      <c r="H11" s="23">
        <f>SUM(H6:H10)</f>
        <v>35210</v>
      </c>
    </row>
    <row r="12" spans="3:8" ht="15" thickBot="1" x14ac:dyDescent="0.35">
      <c r="G12" s="27" t="s">
        <v>12</v>
      </c>
      <c r="H12" s="28" t="s">
        <v>13</v>
      </c>
    </row>
    <row r="13" spans="3:8" ht="15" thickBot="1" x14ac:dyDescent="0.35">
      <c r="G13" s="23">
        <f>G11/F11</f>
        <v>44.244518716577538</v>
      </c>
      <c r="H13" s="26">
        <f>H11/F11</f>
        <v>4.7072192513368982</v>
      </c>
    </row>
  </sheetData>
  <mergeCells count="2">
    <mergeCell ref="D4:E4"/>
    <mergeCell ref="C11:E11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FBBD7-CD77-4C5D-9EDA-DE11CDFE23CC}">
  <dimension ref="J3:T32"/>
  <sheetViews>
    <sheetView topLeftCell="B1" zoomScale="89" zoomScaleNormal="89" workbookViewId="0">
      <selection activeCell="O13" sqref="O13:T15"/>
    </sheetView>
  </sheetViews>
  <sheetFormatPr baseColWidth="10" defaultRowHeight="14.4" x14ac:dyDescent="0.3"/>
  <cols>
    <col min="12" max="12" width="13.5546875" customWidth="1"/>
    <col min="13" max="13" width="17.44140625" customWidth="1"/>
    <col min="18" max="18" width="12" bestFit="1" customWidth="1"/>
  </cols>
  <sheetData>
    <row r="3" spans="10:20" ht="15" thickBot="1" x14ac:dyDescent="0.35"/>
    <row r="4" spans="10:20" ht="15" customHeight="1" thickBot="1" x14ac:dyDescent="0.35">
      <c r="K4" s="147" t="s">
        <v>18</v>
      </c>
      <c r="L4" s="148"/>
      <c r="M4" s="149" t="s">
        <v>19</v>
      </c>
      <c r="N4" s="150"/>
      <c r="O4" s="151"/>
    </row>
    <row r="5" spans="10:20" ht="43.8" customHeight="1" x14ac:dyDescent="0.3">
      <c r="J5" s="41" t="s">
        <v>15</v>
      </c>
      <c r="K5" s="38" t="s">
        <v>16</v>
      </c>
      <c r="L5" s="44" t="s">
        <v>17</v>
      </c>
      <c r="M5" s="34" t="s">
        <v>20</v>
      </c>
      <c r="N5" s="46" t="s">
        <v>28</v>
      </c>
      <c r="O5" s="46" t="s">
        <v>21</v>
      </c>
      <c r="P5" s="35" t="s">
        <v>22</v>
      </c>
      <c r="Q5" s="51" t="s">
        <v>23</v>
      </c>
      <c r="R5" s="45" t="s">
        <v>29</v>
      </c>
    </row>
    <row r="6" spans="10:20" ht="15" customHeight="1" x14ac:dyDescent="0.3">
      <c r="J6" s="42" t="s">
        <v>24</v>
      </c>
      <c r="K6" s="36">
        <v>1</v>
      </c>
      <c r="L6" s="21">
        <v>1</v>
      </c>
      <c r="M6" s="47">
        <v>241</v>
      </c>
      <c r="N6" s="39">
        <v>40</v>
      </c>
      <c r="O6" s="39">
        <v>73</v>
      </c>
      <c r="P6" s="48">
        <v>728</v>
      </c>
      <c r="Q6" s="52">
        <f>SUM(M6:P6)</f>
        <v>1082</v>
      </c>
      <c r="R6" s="50">
        <f>(1/(1082*(1/1082+1/1038+1/1025+1/1036)))</f>
        <v>0.24140591849117496</v>
      </c>
    </row>
    <row r="7" spans="10:20" x14ac:dyDescent="0.3">
      <c r="J7" s="42" t="s">
        <v>25</v>
      </c>
      <c r="K7" s="36">
        <v>1</v>
      </c>
      <c r="L7" s="21">
        <v>1</v>
      </c>
      <c r="M7" s="47">
        <v>289</v>
      </c>
      <c r="N7" s="39">
        <v>25</v>
      </c>
      <c r="O7" s="39">
        <v>83</v>
      </c>
      <c r="P7" s="48">
        <v>641</v>
      </c>
      <c r="Q7" s="52">
        <f t="shared" ref="Q7:Q9" si="0">SUM(M7:P7)</f>
        <v>1038</v>
      </c>
      <c r="R7" s="50">
        <f>(1/(1038*(1/1082+1/1038+1/1025+1/1036)))</f>
        <v>0.2516389246699916</v>
      </c>
    </row>
    <row r="8" spans="10:20" x14ac:dyDescent="0.3">
      <c r="J8" s="42" t="s">
        <v>27</v>
      </c>
      <c r="K8" s="36">
        <v>1</v>
      </c>
      <c r="L8" s="21">
        <v>0</v>
      </c>
      <c r="M8" s="47">
        <v>216</v>
      </c>
      <c r="N8" s="39">
        <v>23</v>
      </c>
      <c r="O8" s="39">
        <v>67</v>
      </c>
      <c r="P8" s="48">
        <v>719</v>
      </c>
      <c r="Q8" s="52">
        <f t="shared" si="0"/>
        <v>1025</v>
      </c>
      <c r="R8" s="50">
        <f>(1/(1025*(1/1082+1/1038+1/1025+1/1036)))</f>
        <v>0.25483044273897687</v>
      </c>
    </row>
    <row r="9" spans="10:20" ht="15" thickBot="1" x14ac:dyDescent="0.35">
      <c r="J9" s="43" t="s">
        <v>26</v>
      </c>
      <c r="K9" s="37">
        <v>1</v>
      </c>
      <c r="L9" s="22">
        <v>1</v>
      </c>
      <c r="M9" s="47">
        <v>324</v>
      </c>
      <c r="N9" s="39">
        <v>26</v>
      </c>
      <c r="O9" s="39">
        <v>74</v>
      </c>
      <c r="P9" s="48">
        <v>612</v>
      </c>
      <c r="Q9" s="53">
        <f t="shared" si="0"/>
        <v>1036</v>
      </c>
      <c r="R9" s="50">
        <f>(1/(1036*(1/1082+1/1038+1/1025+1/1036)))</f>
        <v>0.25212471409985648</v>
      </c>
    </row>
    <row r="10" spans="10:20" ht="15" thickBot="1" x14ac:dyDescent="0.35">
      <c r="M10" s="33"/>
      <c r="N10" s="49"/>
      <c r="O10" s="49"/>
      <c r="P10" s="19"/>
      <c r="R10" s="40">
        <f>SUM(R6:R9)</f>
        <v>0.99999999999999989</v>
      </c>
    </row>
    <row r="11" spans="10:20" ht="15" thickBot="1" x14ac:dyDescent="0.35"/>
    <row r="12" spans="10:20" ht="15" thickBot="1" x14ac:dyDescent="0.35">
      <c r="K12" s="147" t="s">
        <v>18</v>
      </c>
      <c r="L12" s="148"/>
    </row>
    <row r="13" spans="10:20" ht="29.4" thickBot="1" x14ac:dyDescent="0.35">
      <c r="J13" s="41" t="s">
        <v>15</v>
      </c>
      <c r="K13" s="38" t="s">
        <v>16</v>
      </c>
      <c r="L13" s="91" t="s">
        <v>17</v>
      </c>
      <c r="M13" s="88" t="s">
        <v>44</v>
      </c>
      <c r="O13" s="95" t="s">
        <v>45</v>
      </c>
      <c r="P13" s="142" t="s">
        <v>46</v>
      </c>
      <c r="Q13" s="143"/>
      <c r="R13" s="143"/>
      <c r="S13" s="143"/>
      <c r="T13" s="144"/>
    </row>
    <row r="14" spans="10:20" ht="15" thickBot="1" x14ac:dyDescent="0.35">
      <c r="J14" s="42" t="s">
        <v>24</v>
      </c>
      <c r="K14" s="36">
        <v>1</v>
      </c>
      <c r="L14" s="4">
        <v>1</v>
      </c>
      <c r="M14" s="89">
        <f>K14*L14</f>
        <v>1</v>
      </c>
      <c r="O14" s="55">
        <v>0</v>
      </c>
      <c r="P14" s="100" t="s">
        <v>53</v>
      </c>
      <c r="Q14" s="49"/>
      <c r="R14" s="49"/>
      <c r="S14" s="49"/>
      <c r="T14" s="19"/>
    </row>
    <row r="15" spans="10:20" ht="15" thickBot="1" x14ac:dyDescent="0.35">
      <c r="J15" s="42" t="s">
        <v>25</v>
      </c>
      <c r="K15" s="36">
        <v>1</v>
      </c>
      <c r="L15" s="4">
        <v>1</v>
      </c>
      <c r="M15" s="89">
        <f t="shared" ref="M15:M17" si="1">K15*L15</f>
        <v>1</v>
      </c>
      <c r="O15" s="96">
        <v>1</v>
      </c>
      <c r="P15" s="100" t="s">
        <v>54</v>
      </c>
      <c r="Q15" s="49"/>
      <c r="R15" s="49"/>
      <c r="S15" s="49"/>
      <c r="T15" s="19"/>
    </row>
    <row r="16" spans="10:20" x14ac:dyDescent="0.3">
      <c r="J16" s="86" t="s">
        <v>27</v>
      </c>
      <c r="K16" s="87">
        <v>1</v>
      </c>
      <c r="L16" s="92">
        <v>0</v>
      </c>
      <c r="M16" s="90">
        <f t="shared" si="1"/>
        <v>0</v>
      </c>
      <c r="O16" s="83"/>
      <c r="P16" s="83"/>
    </row>
    <row r="17" spans="10:19" ht="15" thickBot="1" x14ac:dyDescent="0.35">
      <c r="J17" s="43" t="s">
        <v>26</v>
      </c>
      <c r="K17" s="37">
        <v>1</v>
      </c>
      <c r="L17" s="24">
        <v>1</v>
      </c>
      <c r="M17" s="89">
        <f t="shared" si="1"/>
        <v>1</v>
      </c>
      <c r="O17" s="83"/>
      <c r="P17" s="83"/>
    </row>
    <row r="18" spans="10:19" ht="15" thickBot="1" x14ac:dyDescent="0.35"/>
    <row r="19" spans="10:19" ht="15" thickBot="1" x14ac:dyDescent="0.35">
      <c r="K19" s="152" t="s">
        <v>30</v>
      </c>
      <c r="L19" s="153"/>
      <c r="M19" s="27" t="s">
        <v>38</v>
      </c>
      <c r="N19" s="55" t="s">
        <v>35</v>
      </c>
      <c r="O19" s="55" t="s">
        <v>36</v>
      </c>
      <c r="P19" s="28" t="s">
        <v>37</v>
      </c>
    </row>
    <row r="20" spans="10:19" x14ac:dyDescent="0.3">
      <c r="K20" s="29" t="s">
        <v>31</v>
      </c>
      <c r="L20" s="30"/>
      <c r="M20" s="56">
        <v>0.3</v>
      </c>
      <c r="N20" s="64">
        <v>0</v>
      </c>
      <c r="O20" s="64">
        <v>0.15</v>
      </c>
      <c r="P20" s="57">
        <v>0.3</v>
      </c>
    </row>
    <row r="21" spans="10:19" x14ac:dyDescent="0.3">
      <c r="K21" s="31" t="s">
        <v>32</v>
      </c>
      <c r="L21" s="32"/>
      <c r="M21" s="58">
        <v>0.35</v>
      </c>
      <c r="N21" s="65">
        <v>0</v>
      </c>
      <c r="O21" s="65">
        <v>0.18</v>
      </c>
      <c r="P21" s="60">
        <v>0.35</v>
      </c>
    </row>
    <row r="22" spans="10:19" x14ac:dyDescent="0.3">
      <c r="K22" s="31" t="s">
        <v>33</v>
      </c>
      <c r="L22" s="32"/>
      <c r="M22" s="58">
        <v>0.2</v>
      </c>
      <c r="N22" s="65">
        <v>0</v>
      </c>
      <c r="O22" s="65">
        <v>0.1</v>
      </c>
      <c r="P22" s="60">
        <v>0.2</v>
      </c>
    </row>
    <row r="23" spans="10:19" ht="15" thickBot="1" x14ac:dyDescent="0.35">
      <c r="K23" s="33" t="s">
        <v>34</v>
      </c>
      <c r="L23" s="19"/>
      <c r="M23" s="61">
        <v>0.15</v>
      </c>
      <c r="N23" s="66">
        <v>0</v>
      </c>
      <c r="O23" s="66">
        <v>0.08</v>
      </c>
      <c r="P23" s="63">
        <v>0.15</v>
      </c>
    </row>
    <row r="24" spans="10:19" ht="15" thickBot="1" x14ac:dyDescent="0.35">
      <c r="K24" s="154" t="s">
        <v>23</v>
      </c>
      <c r="L24" s="155"/>
      <c r="M24" s="67">
        <f>SUM(M20:M23)</f>
        <v>0.99999999999999989</v>
      </c>
    </row>
    <row r="26" spans="10:19" ht="15" thickBot="1" x14ac:dyDescent="0.35"/>
    <row r="27" spans="10:19" ht="15" thickBot="1" x14ac:dyDescent="0.35">
      <c r="K27" s="145" t="s">
        <v>30</v>
      </c>
      <c r="L27" s="146"/>
      <c r="M27" s="68" t="s">
        <v>38</v>
      </c>
      <c r="N27" s="27" t="s">
        <v>39</v>
      </c>
      <c r="O27" s="55" t="s">
        <v>40</v>
      </c>
      <c r="P27" s="54" t="s">
        <v>41</v>
      </c>
      <c r="Q27" s="55" t="s">
        <v>42</v>
      </c>
      <c r="R27" s="81" t="s">
        <v>43</v>
      </c>
    </row>
    <row r="28" spans="10:19" x14ac:dyDescent="0.3">
      <c r="K28" s="69" t="s">
        <v>31</v>
      </c>
      <c r="L28" s="70"/>
      <c r="M28" s="71">
        <v>0.3</v>
      </c>
      <c r="N28" s="58">
        <v>0.15</v>
      </c>
      <c r="O28" s="65">
        <v>0.15</v>
      </c>
      <c r="P28" s="59">
        <v>0.3</v>
      </c>
      <c r="Q28" s="58">
        <v>0.15</v>
      </c>
      <c r="R28" s="93">
        <f>1*((0.2414*0.8)+((1-0.8)*(0.53)))</f>
        <v>0.29912</v>
      </c>
      <c r="S28" s="82"/>
    </row>
    <row r="29" spans="10:19" x14ac:dyDescent="0.3">
      <c r="K29" s="72" t="s">
        <v>32</v>
      </c>
      <c r="L29" s="73"/>
      <c r="M29" s="74">
        <v>0.35</v>
      </c>
      <c r="N29" s="58">
        <v>0.18</v>
      </c>
      <c r="O29" s="65">
        <v>0.18</v>
      </c>
      <c r="P29" s="58">
        <v>0.18</v>
      </c>
      <c r="Q29" s="58">
        <v>0.18</v>
      </c>
      <c r="R29" s="93">
        <f>1*((0.25163892*0.8)+((1-0.8)*(0.51)))</f>
        <v>0.30331113599999998</v>
      </c>
    </row>
    <row r="30" spans="10:19" x14ac:dyDescent="0.3">
      <c r="K30" s="72" t="s">
        <v>33</v>
      </c>
      <c r="L30" s="73"/>
      <c r="M30" s="74">
        <v>0.2</v>
      </c>
      <c r="N30" s="58">
        <v>0.2</v>
      </c>
      <c r="O30" s="65">
        <v>0.1</v>
      </c>
      <c r="P30" s="59">
        <v>0.2</v>
      </c>
      <c r="Q30" s="58">
        <v>0.1</v>
      </c>
      <c r="R30" s="93">
        <f>0*((R8*80%)+((1-80%)*(0.83)))</f>
        <v>0</v>
      </c>
    </row>
    <row r="31" spans="10:19" ht="15" thickBot="1" x14ac:dyDescent="0.35">
      <c r="K31" s="75" t="s">
        <v>34</v>
      </c>
      <c r="L31" s="76"/>
      <c r="M31" s="77">
        <v>0.15</v>
      </c>
      <c r="N31" s="61">
        <v>0</v>
      </c>
      <c r="O31" s="66">
        <v>0.08</v>
      </c>
      <c r="P31" s="62">
        <v>0.15</v>
      </c>
      <c r="Q31" s="61">
        <v>0.15</v>
      </c>
      <c r="R31" s="93">
        <f>1*((0.2521*0.8)+((1-0.8)*(0.58)))</f>
        <v>0.31767999999999996</v>
      </c>
    </row>
    <row r="32" spans="10:19" ht="15" thickBot="1" x14ac:dyDescent="0.35">
      <c r="K32" s="145" t="s">
        <v>23</v>
      </c>
      <c r="L32" s="146"/>
      <c r="M32" s="78">
        <f>SUM(M28:M31)</f>
        <v>0.99999999999999989</v>
      </c>
      <c r="N32" s="84">
        <f t="shared" ref="N32:Q32" si="2">SUM(N28:N31)</f>
        <v>0.53</v>
      </c>
      <c r="O32" s="84">
        <f t="shared" si="2"/>
        <v>0.5099999999999999</v>
      </c>
      <c r="P32" s="84">
        <f t="shared" si="2"/>
        <v>0.83</v>
      </c>
      <c r="Q32" s="85">
        <f t="shared" si="2"/>
        <v>0.57999999999999996</v>
      </c>
      <c r="R32" s="94"/>
    </row>
  </sheetData>
  <mergeCells count="8">
    <mergeCell ref="P13:T13"/>
    <mergeCell ref="K32:L32"/>
    <mergeCell ref="K4:L4"/>
    <mergeCell ref="M4:O4"/>
    <mergeCell ref="K19:L19"/>
    <mergeCell ref="K24:L24"/>
    <mergeCell ref="K27:L27"/>
    <mergeCell ref="K12:L12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F5360-CB53-44DE-B500-B502EF6FA336}">
  <dimension ref="B4:J25"/>
  <sheetViews>
    <sheetView workbookViewId="0">
      <selection activeCell="H28" sqref="H28"/>
    </sheetView>
  </sheetViews>
  <sheetFormatPr baseColWidth="10" defaultRowHeight="14.4" x14ac:dyDescent="0.3"/>
  <cols>
    <col min="2" max="2" width="14.88671875" customWidth="1"/>
    <col min="9" max="9" width="4.21875" customWidth="1"/>
    <col min="10" max="10" width="11.33203125" customWidth="1"/>
  </cols>
  <sheetData>
    <row r="4" spans="2:10" ht="15" thickBot="1" x14ac:dyDescent="0.35"/>
    <row r="5" spans="2:10" ht="15" thickBot="1" x14ac:dyDescent="0.35">
      <c r="C5" s="138" t="s">
        <v>14</v>
      </c>
      <c r="D5" s="139"/>
      <c r="E5" s="102" t="s">
        <v>55</v>
      </c>
    </row>
    <row r="6" spans="2:10" ht="43.8" thickBot="1" x14ac:dyDescent="0.35">
      <c r="B6" s="1" t="s">
        <v>0</v>
      </c>
      <c r="C6" s="2" t="s">
        <v>4</v>
      </c>
      <c r="D6" s="2" t="s">
        <v>5</v>
      </c>
      <c r="E6" s="17" t="s">
        <v>52</v>
      </c>
      <c r="F6" s="17" t="s">
        <v>3</v>
      </c>
      <c r="G6" s="18" t="s">
        <v>2</v>
      </c>
    </row>
    <row r="7" spans="2:10" ht="15" thickBot="1" x14ac:dyDescent="0.35">
      <c r="B7" s="5" t="s">
        <v>47</v>
      </c>
      <c r="C7" s="8">
        <v>63.2</v>
      </c>
      <c r="D7" s="11">
        <v>5.2</v>
      </c>
      <c r="E7" s="14">
        <v>6300</v>
      </c>
      <c r="F7" s="103">
        <f>C7*E7</f>
        <v>398160</v>
      </c>
      <c r="G7" s="104">
        <f>E7*D7</f>
        <v>32760</v>
      </c>
    </row>
    <row r="8" spans="2:10" ht="15" thickBot="1" x14ac:dyDescent="0.35">
      <c r="B8" s="6" t="s">
        <v>48</v>
      </c>
      <c r="C8" s="9">
        <v>28.1</v>
      </c>
      <c r="D8" s="12">
        <v>4.8</v>
      </c>
      <c r="E8" s="15">
        <v>3500</v>
      </c>
      <c r="F8" s="103">
        <f t="shared" ref="F8:F11" si="0">C8*E8</f>
        <v>98350</v>
      </c>
      <c r="G8" s="104">
        <f t="shared" ref="G8:G11" si="1">E8*D8</f>
        <v>16800</v>
      </c>
      <c r="I8" t="s">
        <v>56</v>
      </c>
      <c r="J8">
        <f>F12/E12</f>
        <v>51.891235758106923</v>
      </c>
    </row>
    <row r="9" spans="2:10" ht="15" thickBot="1" x14ac:dyDescent="0.35">
      <c r="B9" s="6" t="s">
        <v>49</v>
      </c>
      <c r="C9" s="9">
        <v>36.200000000000003</v>
      </c>
      <c r="D9" s="12">
        <v>2.6</v>
      </c>
      <c r="E9" s="15">
        <v>450</v>
      </c>
      <c r="F9" s="103">
        <f t="shared" si="0"/>
        <v>16290.000000000002</v>
      </c>
      <c r="G9" s="104">
        <f t="shared" si="1"/>
        <v>1170</v>
      </c>
    </row>
    <row r="10" spans="2:10" ht="15" thickBot="1" x14ac:dyDescent="0.35">
      <c r="B10" s="6" t="s">
        <v>50</v>
      </c>
      <c r="C10" s="9">
        <v>78.5</v>
      </c>
      <c r="D10" s="12">
        <v>3.8</v>
      </c>
      <c r="E10" s="15">
        <v>830</v>
      </c>
      <c r="F10" s="103">
        <f t="shared" si="0"/>
        <v>65155</v>
      </c>
      <c r="G10" s="104">
        <f t="shared" si="1"/>
        <v>3154</v>
      </c>
      <c r="I10" t="s">
        <v>57</v>
      </c>
      <c r="J10">
        <f>G12/E12</f>
        <v>4.9481156879929884</v>
      </c>
    </row>
    <row r="11" spans="2:10" ht="15" thickBot="1" x14ac:dyDescent="0.35">
      <c r="B11" s="7" t="s">
        <v>51</v>
      </c>
      <c r="C11" s="10">
        <v>42.8</v>
      </c>
      <c r="D11" s="13">
        <v>7.8</v>
      </c>
      <c r="E11" s="16">
        <v>330</v>
      </c>
      <c r="F11" s="103">
        <f t="shared" si="0"/>
        <v>14123.999999999998</v>
      </c>
      <c r="G11" s="104">
        <f t="shared" si="1"/>
        <v>2574</v>
      </c>
    </row>
    <row r="12" spans="2:10" ht="15" thickBot="1" x14ac:dyDescent="0.35">
      <c r="B12" s="140" t="s">
        <v>11</v>
      </c>
      <c r="C12" s="141"/>
      <c r="D12" s="141"/>
      <c r="E12" s="107">
        <f>SUM(E7:E11)</f>
        <v>11410</v>
      </c>
      <c r="F12" s="103">
        <f>SUM(F7:F11)</f>
        <v>592079</v>
      </c>
      <c r="G12" s="105">
        <f>SUM(G7:G11)</f>
        <v>56458</v>
      </c>
    </row>
    <row r="13" spans="2:10" ht="15" thickBot="1" x14ac:dyDescent="0.35">
      <c r="F13" s="27" t="s">
        <v>12</v>
      </c>
      <c r="G13" s="28" t="s">
        <v>13</v>
      </c>
    </row>
    <row r="14" spans="2:10" ht="15" thickBot="1" x14ac:dyDescent="0.35">
      <c r="F14" s="105">
        <f>F12/E12</f>
        <v>51.891235758106923</v>
      </c>
      <c r="G14" s="106">
        <f>G12/E12</f>
        <v>4.9481156879929884</v>
      </c>
    </row>
    <row r="18" spans="2:4" ht="15" thickBot="1" x14ac:dyDescent="0.35"/>
    <row r="19" spans="2:4" x14ac:dyDescent="0.3">
      <c r="B19" s="108" t="s">
        <v>0</v>
      </c>
      <c r="C19" s="109" t="s">
        <v>4</v>
      </c>
      <c r="D19" s="109" t="s">
        <v>5</v>
      </c>
    </row>
    <row r="20" spans="2:4" x14ac:dyDescent="0.3">
      <c r="B20" s="94" t="s">
        <v>47</v>
      </c>
      <c r="C20" s="111">
        <v>63.2</v>
      </c>
      <c r="D20" s="111">
        <v>5.2</v>
      </c>
    </row>
    <row r="21" spans="2:4" x14ac:dyDescent="0.3">
      <c r="B21" s="94" t="s">
        <v>48</v>
      </c>
      <c r="C21" s="111">
        <v>28.1</v>
      </c>
      <c r="D21" s="111">
        <v>4.8</v>
      </c>
    </row>
    <row r="22" spans="2:4" x14ac:dyDescent="0.3">
      <c r="B22" s="94" t="s">
        <v>49</v>
      </c>
      <c r="C22" s="111">
        <v>36.200000000000003</v>
      </c>
      <c r="D22" s="111">
        <v>2.6</v>
      </c>
    </row>
    <row r="23" spans="2:4" x14ac:dyDescent="0.3">
      <c r="B23" s="94" t="s">
        <v>50</v>
      </c>
      <c r="C23" s="111">
        <v>78.5</v>
      </c>
      <c r="D23" s="111">
        <v>3.8</v>
      </c>
    </row>
    <row r="24" spans="2:4" x14ac:dyDescent="0.3">
      <c r="B24" s="94" t="s">
        <v>51</v>
      </c>
      <c r="C24" s="111">
        <v>42.8</v>
      </c>
      <c r="D24" s="111">
        <v>7.8</v>
      </c>
    </row>
    <row r="25" spans="2:4" x14ac:dyDescent="0.3">
      <c r="B25" s="110" t="s">
        <v>58</v>
      </c>
      <c r="C25" s="112">
        <v>51.891235758106923</v>
      </c>
      <c r="D25" s="112">
        <v>4.9481156879929884</v>
      </c>
    </row>
  </sheetData>
  <mergeCells count="2">
    <mergeCell ref="C5:D5"/>
    <mergeCell ref="B12:D1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94D7E-C882-4F6D-AB17-45BC58D2A25C}">
  <dimension ref="C7:P39"/>
  <sheetViews>
    <sheetView tabSelected="1" topLeftCell="A15" workbookViewId="0">
      <selection activeCell="P37" sqref="P37"/>
    </sheetView>
  </sheetViews>
  <sheetFormatPr baseColWidth="10" defaultRowHeight="14.4" x14ac:dyDescent="0.3"/>
  <cols>
    <col min="6" max="6" width="16.33203125" customWidth="1"/>
    <col min="12" max="12" width="10.6640625" customWidth="1"/>
    <col min="13" max="13" width="8" customWidth="1"/>
    <col min="14" max="14" width="7.88671875" customWidth="1"/>
  </cols>
  <sheetData>
    <row r="7" spans="3:12" ht="15" thickBot="1" x14ac:dyDescent="0.35">
      <c r="K7" s="113"/>
    </row>
    <row r="8" spans="3:12" ht="15" thickBot="1" x14ac:dyDescent="0.35">
      <c r="D8" s="147" t="s">
        <v>18</v>
      </c>
      <c r="E8" s="148"/>
      <c r="F8" s="149" t="s">
        <v>19</v>
      </c>
      <c r="G8" s="150"/>
      <c r="H8" s="151"/>
      <c r="J8" s="102" t="s">
        <v>59</v>
      </c>
      <c r="K8" s="115" t="s">
        <v>60</v>
      </c>
    </row>
    <row r="9" spans="3:12" ht="43.2" x14ac:dyDescent="0.3">
      <c r="C9" s="41" t="s">
        <v>15</v>
      </c>
      <c r="D9" s="38" t="s">
        <v>16</v>
      </c>
      <c r="E9" s="44" t="s">
        <v>17</v>
      </c>
      <c r="F9" s="34" t="s">
        <v>20</v>
      </c>
      <c r="G9" s="46" t="s">
        <v>28</v>
      </c>
      <c r="H9" s="46" t="s">
        <v>21</v>
      </c>
      <c r="I9" s="35" t="s">
        <v>22</v>
      </c>
      <c r="J9" s="51" t="s">
        <v>23</v>
      </c>
      <c r="K9" s="45" t="s">
        <v>29</v>
      </c>
    </row>
    <row r="10" spans="3:12" x14ac:dyDescent="0.3">
      <c r="C10" s="42" t="s">
        <v>24</v>
      </c>
      <c r="D10" s="36">
        <v>1</v>
      </c>
      <c r="E10" s="21">
        <v>1</v>
      </c>
      <c r="F10" s="47">
        <v>322</v>
      </c>
      <c r="G10" s="39">
        <v>80</v>
      </c>
      <c r="H10" s="39">
        <v>82</v>
      </c>
      <c r="I10" s="48">
        <v>822</v>
      </c>
      <c r="J10" s="118">
        <f>SUM(F10:I10)</f>
        <v>1306</v>
      </c>
      <c r="K10" s="122">
        <f>1/(J10*$L$10)</f>
        <v>0.2027679753559444</v>
      </c>
      <c r="L10" s="116">
        <f>(1/$J$10)+(1/$J$11)+(1/$J$12)+(1/$J$13)</f>
        <v>3.7762214803860523E-3</v>
      </c>
    </row>
    <row r="11" spans="3:12" x14ac:dyDescent="0.3">
      <c r="C11" s="42" t="s">
        <v>25</v>
      </c>
      <c r="D11" s="36">
        <v>1</v>
      </c>
      <c r="E11" s="21">
        <v>1</v>
      </c>
      <c r="F11" s="47">
        <v>189</v>
      </c>
      <c r="G11" s="39">
        <v>35</v>
      </c>
      <c r="H11" s="39">
        <v>78</v>
      </c>
      <c r="I11" s="48">
        <v>598</v>
      </c>
      <c r="J11" s="118">
        <f t="shared" ref="J11:J13" si="0">SUM(F11:I11)</f>
        <v>900</v>
      </c>
      <c r="K11" s="122">
        <f>1/(J11*$L$10)</f>
        <v>0.29423886201651483</v>
      </c>
      <c r="L11" s="117"/>
    </row>
    <row r="12" spans="3:12" x14ac:dyDescent="0.3">
      <c r="C12" s="42" t="s">
        <v>27</v>
      </c>
      <c r="D12" s="36">
        <v>0</v>
      </c>
      <c r="E12" s="21">
        <v>1</v>
      </c>
      <c r="F12" s="47">
        <v>198</v>
      </c>
      <c r="G12" s="39">
        <v>18</v>
      </c>
      <c r="H12" s="39">
        <v>65</v>
      </c>
      <c r="I12" s="48">
        <v>698</v>
      </c>
      <c r="J12" s="118">
        <f t="shared" si="0"/>
        <v>979</v>
      </c>
      <c r="K12" s="122">
        <f>1/(J12*$L$10)</f>
        <v>0.27049537876901264</v>
      </c>
      <c r="L12" s="117"/>
    </row>
    <row r="13" spans="3:12" ht="15" thickBot="1" x14ac:dyDescent="0.35">
      <c r="C13" s="43" t="s">
        <v>26</v>
      </c>
      <c r="D13" s="37">
        <v>1</v>
      </c>
      <c r="E13" s="22">
        <v>1</v>
      </c>
      <c r="F13" s="47">
        <v>524</v>
      </c>
      <c r="G13" s="39">
        <v>32</v>
      </c>
      <c r="H13" s="39">
        <v>71</v>
      </c>
      <c r="I13" s="48">
        <v>512</v>
      </c>
      <c r="J13" s="118">
        <f t="shared" si="0"/>
        <v>1139</v>
      </c>
      <c r="K13" s="122">
        <f>1/(J13*$L$10)</f>
        <v>0.23249778385852798</v>
      </c>
      <c r="L13" s="117"/>
    </row>
    <row r="14" spans="3:12" ht="15" thickBot="1" x14ac:dyDescent="0.35">
      <c r="F14" s="33"/>
      <c r="G14" s="49"/>
      <c r="H14" s="49"/>
      <c r="I14" s="19"/>
      <c r="K14" s="123">
        <f>SUM(K10:K13)</f>
        <v>0.99999999999999978</v>
      </c>
    </row>
    <row r="15" spans="3:12" ht="15" thickBot="1" x14ac:dyDescent="0.35"/>
    <row r="16" spans="3:12" ht="15" thickBot="1" x14ac:dyDescent="0.35">
      <c r="D16" s="147" t="s">
        <v>18</v>
      </c>
      <c r="E16" s="148"/>
      <c r="F16" s="102" t="s">
        <v>62</v>
      </c>
    </row>
    <row r="17" spans="3:16" ht="29.4" thickBot="1" x14ac:dyDescent="0.35">
      <c r="C17" s="41" t="s">
        <v>15</v>
      </c>
      <c r="D17" s="38" t="s">
        <v>16</v>
      </c>
      <c r="E17" s="91" t="s">
        <v>17</v>
      </c>
      <c r="F17" s="88" t="s">
        <v>44</v>
      </c>
      <c r="H17" s="95" t="s">
        <v>45</v>
      </c>
      <c r="I17" s="142" t="s">
        <v>46</v>
      </c>
      <c r="J17" s="143"/>
      <c r="K17" s="143"/>
      <c r="L17" s="143"/>
      <c r="M17" s="144"/>
    </row>
    <row r="18" spans="3:16" ht="15" thickBot="1" x14ac:dyDescent="0.35">
      <c r="C18" s="42" t="s">
        <v>24</v>
      </c>
      <c r="D18" s="36">
        <v>1</v>
      </c>
      <c r="E18" s="4">
        <v>1</v>
      </c>
      <c r="F18" s="114">
        <f>D18*E18</f>
        <v>1</v>
      </c>
      <c r="H18" s="55">
        <v>0</v>
      </c>
      <c r="I18" s="100" t="s">
        <v>53</v>
      </c>
      <c r="J18" s="49"/>
      <c r="K18" s="49"/>
      <c r="L18" s="49"/>
      <c r="M18" s="19"/>
    </row>
    <row r="19" spans="3:16" ht="15" thickBot="1" x14ac:dyDescent="0.35">
      <c r="C19" s="42" t="s">
        <v>25</v>
      </c>
      <c r="D19" s="36">
        <v>1</v>
      </c>
      <c r="E19" s="4">
        <v>1</v>
      </c>
      <c r="F19" s="114">
        <f t="shared" ref="F19:F21" si="1">D19*E19</f>
        <v>1</v>
      </c>
      <c r="H19" s="96">
        <v>1</v>
      </c>
      <c r="I19" s="100" t="s">
        <v>54</v>
      </c>
      <c r="J19" s="49"/>
      <c r="K19" s="49"/>
      <c r="L19" s="49"/>
      <c r="M19" s="19"/>
    </row>
    <row r="20" spans="3:16" x14ac:dyDescent="0.3">
      <c r="C20" s="97" t="s">
        <v>27</v>
      </c>
      <c r="D20" s="98">
        <v>0</v>
      </c>
      <c r="E20" s="99">
        <v>1</v>
      </c>
      <c r="F20" s="114">
        <f t="shared" si="1"/>
        <v>0</v>
      </c>
      <c r="H20" s="83"/>
      <c r="I20" s="83"/>
    </row>
    <row r="21" spans="3:16" ht="15" thickBot="1" x14ac:dyDescent="0.35">
      <c r="C21" s="43" t="s">
        <v>26</v>
      </c>
      <c r="D21" s="37">
        <v>1</v>
      </c>
      <c r="E21" s="24">
        <v>1</v>
      </c>
      <c r="F21" s="114">
        <f t="shared" si="1"/>
        <v>1</v>
      </c>
      <c r="H21" s="83"/>
      <c r="I21" s="83"/>
    </row>
    <row r="22" spans="3:16" ht="15" thickBot="1" x14ac:dyDescent="0.35"/>
    <row r="23" spans="3:16" ht="15" thickBot="1" x14ac:dyDescent="0.35">
      <c r="D23" s="152" t="s">
        <v>30</v>
      </c>
      <c r="E23" s="153"/>
      <c r="F23" s="27" t="s">
        <v>38</v>
      </c>
      <c r="G23" s="55" t="s">
        <v>35</v>
      </c>
      <c r="H23" s="55" t="s">
        <v>36</v>
      </c>
      <c r="I23" s="28" t="s">
        <v>37</v>
      </c>
    </row>
    <row r="24" spans="3:16" ht="21.6" thickBot="1" x14ac:dyDescent="0.45">
      <c r="D24" s="29" t="s">
        <v>31</v>
      </c>
      <c r="E24" s="30"/>
      <c r="F24" s="56">
        <v>0.3</v>
      </c>
      <c r="G24" s="64">
        <v>0</v>
      </c>
      <c r="H24" s="64">
        <v>0.15</v>
      </c>
      <c r="I24" s="57">
        <v>0.3</v>
      </c>
      <c r="K24" s="120" t="s">
        <v>63</v>
      </c>
      <c r="L24" s="121">
        <v>0.8</v>
      </c>
    </row>
    <row r="25" spans="3:16" x14ac:dyDescent="0.3">
      <c r="D25" s="31" t="s">
        <v>32</v>
      </c>
      <c r="E25" s="32"/>
      <c r="F25" s="58">
        <v>0.35</v>
      </c>
      <c r="G25" s="65">
        <v>0</v>
      </c>
      <c r="H25" s="65">
        <v>0.18</v>
      </c>
      <c r="I25" s="60">
        <v>0.35</v>
      </c>
    </row>
    <row r="26" spans="3:16" x14ac:dyDescent="0.3">
      <c r="D26" s="31" t="s">
        <v>33</v>
      </c>
      <c r="E26" s="32"/>
      <c r="F26" s="58">
        <v>0.2</v>
      </c>
      <c r="G26" s="65">
        <v>0</v>
      </c>
      <c r="H26" s="65">
        <v>0.1</v>
      </c>
      <c r="I26" s="60">
        <v>0.2</v>
      </c>
    </row>
    <row r="27" spans="3:16" ht="15" thickBot="1" x14ac:dyDescent="0.35">
      <c r="D27" s="33" t="s">
        <v>34</v>
      </c>
      <c r="E27" s="19"/>
      <c r="F27" s="61">
        <v>0.15</v>
      </c>
      <c r="G27" s="66">
        <v>0</v>
      </c>
      <c r="H27" s="66">
        <v>0.08</v>
      </c>
      <c r="I27" s="63">
        <v>0.15</v>
      </c>
    </row>
    <row r="28" spans="3:16" ht="15" thickBot="1" x14ac:dyDescent="0.35">
      <c r="D28" s="154" t="s">
        <v>23</v>
      </c>
      <c r="E28" s="155"/>
      <c r="F28" s="67">
        <f>SUM(F24:F27)</f>
        <v>0.99999999999999989</v>
      </c>
    </row>
    <row r="30" spans="3:16" ht="15" thickBot="1" x14ac:dyDescent="0.35">
      <c r="M30" s="113" t="s">
        <v>71</v>
      </c>
    </row>
    <row r="31" spans="3:16" ht="15" thickBot="1" x14ac:dyDescent="0.35">
      <c r="D31" s="145" t="s">
        <v>30</v>
      </c>
      <c r="E31" s="146"/>
      <c r="F31" s="79" t="s">
        <v>38</v>
      </c>
      <c r="G31" s="80" t="s">
        <v>39</v>
      </c>
      <c r="H31" s="55" t="s">
        <v>40</v>
      </c>
      <c r="I31" s="54" t="s">
        <v>41</v>
      </c>
      <c r="J31" s="81" t="s">
        <v>42</v>
      </c>
      <c r="K31" s="127"/>
      <c r="L31" s="101" t="s">
        <v>64</v>
      </c>
      <c r="N31" s="113" t="s">
        <v>68</v>
      </c>
    </row>
    <row r="32" spans="3:16" ht="15" thickBot="1" x14ac:dyDescent="0.35">
      <c r="D32" s="69" t="s">
        <v>31</v>
      </c>
      <c r="E32" s="70"/>
      <c r="F32" s="71">
        <v>0.3</v>
      </c>
      <c r="G32" s="58">
        <v>0.22</v>
      </c>
      <c r="H32" s="65">
        <v>0.18</v>
      </c>
      <c r="I32" s="129">
        <v>0.27</v>
      </c>
      <c r="J32" s="64">
        <v>0.18</v>
      </c>
      <c r="K32" s="128"/>
      <c r="L32" s="131" t="s">
        <v>65</v>
      </c>
      <c r="M32" s="132" t="s">
        <v>43</v>
      </c>
      <c r="O32" s="113" t="s">
        <v>69</v>
      </c>
      <c r="P32" s="113" t="s">
        <v>70</v>
      </c>
    </row>
    <row r="33" spans="3:16" ht="15" thickBot="1" x14ac:dyDescent="0.35">
      <c r="D33" s="72" t="s">
        <v>32</v>
      </c>
      <c r="E33" s="73"/>
      <c r="F33" s="74">
        <v>0.35</v>
      </c>
      <c r="G33" s="58">
        <v>0</v>
      </c>
      <c r="H33" s="65">
        <v>0.2</v>
      </c>
      <c r="I33" s="58">
        <v>0.15</v>
      </c>
      <c r="J33" s="65">
        <v>0.16</v>
      </c>
      <c r="K33" s="128"/>
      <c r="L33" s="133" t="s">
        <v>24</v>
      </c>
      <c r="M33" s="124">
        <f>F18*(O33+P33)</f>
        <v>0.28221438028475554</v>
      </c>
      <c r="N33" s="116">
        <f>$F18*(($K10*$L$24)+((1-$L$24)*H$36))</f>
        <v>0.28021438028475554</v>
      </c>
      <c r="O33" s="125">
        <f>K10*$L$24</f>
        <v>0.16221438028475554</v>
      </c>
      <c r="P33" s="116">
        <f>(1-$L$24)*(G$36)</f>
        <v>0.12</v>
      </c>
    </row>
    <row r="34" spans="3:16" ht="15" thickBot="1" x14ac:dyDescent="0.35">
      <c r="D34" s="72" t="s">
        <v>33</v>
      </c>
      <c r="E34" s="73"/>
      <c r="F34" s="74">
        <v>0.2</v>
      </c>
      <c r="G34" s="58">
        <v>0.2</v>
      </c>
      <c r="H34" s="65">
        <v>0.12</v>
      </c>
      <c r="I34" s="129">
        <v>0.18</v>
      </c>
      <c r="J34" s="65">
        <v>0.08</v>
      </c>
      <c r="K34" s="128"/>
      <c r="L34" s="134" t="s">
        <v>25</v>
      </c>
      <c r="M34" s="136">
        <f>F19*(O34+P34)</f>
        <v>0.35339108961321186</v>
      </c>
      <c r="N34" s="116">
        <f>$F19*(($K11*$L$24)+((1-$L$24)*H$36))</f>
        <v>0.35339108961321186</v>
      </c>
      <c r="O34" s="125">
        <f>K11*$L$24</f>
        <v>0.23539108961321187</v>
      </c>
      <c r="P34" s="116">
        <f>(1-$L$24)*(H$36)</f>
        <v>0.11799999999999997</v>
      </c>
    </row>
    <row r="35" spans="3:16" ht="15" thickBot="1" x14ac:dyDescent="0.35">
      <c r="D35" s="75" t="s">
        <v>34</v>
      </c>
      <c r="E35" s="76"/>
      <c r="F35" s="77">
        <v>0.15</v>
      </c>
      <c r="G35" s="61">
        <v>0.18</v>
      </c>
      <c r="H35" s="66">
        <v>0.09</v>
      </c>
      <c r="I35" s="62">
        <v>0.09</v>
      </c>
      <c r="J35" s="66">
        <v>0.17</v>
      </c>
      <c r="K35" s="128"/>
      <c r="L35" s="134" t="s">
        <v>27</v>
      </c>
      <c r="M35" s="124">
        <f>F20*(O35+P35)</f>
        <v>0</v>
      </c>
      <c r="N35" s="116">
        <f t="shared" ref="N35:N36" si="2">$F20*(($K12*$L$24)+((1-$L$24)*H$36))</f>
        <v>0</v>
      </c>
      <c r="O35" s="125">
        <f>K12*$L$24</f>
        <v>0.21639630301521012</v>
      </c>
      <c r="P35" s="116">
        <f>(1-$L$24)*(I$36)</f>
        <v>0.13799999999999998</v>
      </c>
    </row>
    <row r="36" spans="3:16" ht="15" thickBot="1" x14ac:dyDescent="0.35">
      <c r="C36" s="102" t="s">
        <v>61</v>
      </c>
      <c r="D36" s="145" t="s">
        <v>23</v>
      </c>
      <c r="E36" s="146"/>
      <c r="F36" s="78">
        <f>SUM(F32:F35)</f>
        <v>0.99999999999999989</v>
      </c>
      <c r="G36" s="119">
        <f>SUM(G32:G35)</f>
        <v>0.60000000000000009</v>
      </c>
      <c r="H36" s="119">
        <f t="shared" ref="H36:J36" si="3">SUM(H32:H35)</f>
        <v>0.59</v>
      </c>
      <c r="I36" s="126">
        <f t="shared" si="3"/>
        <v>0.69000000000000006</v>
      </c>
      <c r="J36" s="156">
        <f t="shared" si="3"/>
        <v>0.59</v>
      </c>
      <c r="K36" s="128"/>
      <c r="L36" s="135" t="s">
        <v>26</v>
      </c>
      <c r="M36" s="130">
        <f>F21*(O36+P36)</f>
        <v>0.30399822708682234</v>
      </c>
      <c r="N36" s="116">
        <f t="shared" si="2"/>
        <v>0.30399822708682234</v>
      </c>
      <c r="O36" s="125">
        <f>K13*$L$24</f>
        <v>0.1859982270868224</v>
      </c>
      <c r="P36" s="116">
        <f>(1-$L$24)*(J$36)</f>
        <v>0.11799999999999997</v>
      </c>
    </row>
    <row r="37" spans="3:16" x14ac:dyDescent="0.3">
      <c r="K37" s="128"/>
      <c r="M37" s="113" t="s">
        <v>71</v>
      </c>
    </row>
    <row r="38" spans="3:16" x14ac:dyDescent="0.3">
      <c r="L38" s="137" t="s">
        <v>66</v>
      </c>
    </row>
    <row r="39" spans="3:16" x14ac:dyDescent="0.3">
      <c r="L39" s="101" t="s">
        <v>67</v>
      </c>
    </row>
  </sheetData>
  <mergeCells count="8">
    <mergeCell ref="D8:E8"/>
    <mergeCell ref="F8:H8"/>
    <mergeCell ref="D16:E16"/>
    <mergeCell ref="I17:M17"/>
    <mergeCell ref="D23:E23"/>
    <mergeCell ref="D28:E28"/>
    <mergeCell ref="D31:E31"/>
    <mergeCell ref="D36:E3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Ejercicio Centro de Gravedad</vt:lpstr>
      <vt:lpstr>Ejercicio Método Gibson y Brown</vt:lpstr>
      <vt:lpstr>Ejercicio 2 Método Centro de Gr</vt:lpstr>
      <vt:lpstr>Ejercicio 2 Método Gibson y 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ALEXANDRA/PATRICIA ALARCÓN VÁSQUEZ</dc:creator>
  <cp:lastModifiedBy>Janvera Videla</cp:lastModifiedBy>
  <dcterms:created xsi:type="dcterms:W3CDTF">2023-12-01T22:48:52Z</dcterms:created>
  <dcterms:modified xsi:type="dcterms:W3CDTF">2023-12-03T19:24:37Z</dcterms:modified>
</cp:coreProperties>
</file>