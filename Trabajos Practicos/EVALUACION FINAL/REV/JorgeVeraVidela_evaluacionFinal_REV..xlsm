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RABAJOS PRÁCTICOS REVISADOS TÉCNICAS DE ADM. LOGÍSTICAS\EVALUACIÓN FINAL 18-11-2023\"/>
    </mc:Choice>
  </mc:AlternateContent>
  <xr:revisionPtr revIDLastSave="0" documentId="13_ncr:1_{FFA182E9-AD58-48C1-AA6C-890D90CFF126}" xr6:coauthVersionLast="47" xr6:coauthVersionMax="47" xr10:uidLastSave="{00000000-0000-0000-0000-000000000000}"/>
  <bookViews>
    <workbookView xWindow="-108" yWindow="-108" windowWidth="23256" windowHeight="12456" xr2:uid="{C27035ED-6400-474C-B35E-1F6CD5020944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1" l="1"/>
  <c r="L55" i="1" s="1"/>
  <c r="N56" i="1" s="1"/>
  <c r="O55" i="1" s="1"/>
  <c r="T60" i="1" l="1"/>
  <c r="T59" i="1"/>
  <c r="T61" i="1" s="1"/>
  <c r="T53" i="1"/>
  <c r="T52" i="1"/>
  <c r="T54" i="1" s="1"/>
  <c r="H45" i="1"/>
  <c r="H44" i="1"/>
  <c r="L58" i="1" s="1"/>
  <c r="N59" i="1" s="1"/>
  <c r="O58" i="1" s="1"/>
  <c r="H43" i="1"/>
  <c r="L61" i="1" s="1"/>
  <c r="N62" i="1" s="1"/>
  <c r="O61" i="1" s="1"/>
  <c r="H42" i="1"/>
  <c r="L52" i="1" s="1"/>
  <c r="N53" i="1" s="1"/>
  <c r="O52" i="1" s="1"/>
  <c r="P53" i="1" s="1"/>
  <c r="I54" i="1" s="1"/>
  <c r="P60" i="1" l="1"/>
  <c r="I60" i="1" s="1"/>
</calcChain>
</file>

<file path=xl/sharedStrings.xml><?xml version="1.0" encoding="utf-8"?>
<sst xmlns="http://schemas.openxmlformats.org/spreadsheetml/2006/main" count="44" uniqueCount="34">
  <si>
    <t>ALTERNATIVA</t>
  </si>
  <si>
    <t>INGRESO</t>
  </si>
  <si>
    <t>COSTO</t>
  </si>
  <si>
    <t>VALOR NETO</t>
  </si>
  <si>
    <t>1.-Bodega Grande, Baja demanda</t>
  </si>
  <si>
    <t>2.-Bodega Grande, Alta demanda</t>
  </si>
  <si>
    <t>3.-Bodega Pequeña, Baja Demanda</t>
  </si>
  <si>
    <t>4.-Bodega Pequeña, Alta Demanda</t>
  </si>
  <si>
    <t>5.-No construir Nada</t>
  </si>
  <si>
    <t>%</t>
  </si>
  <si>
    <t>VALOR FINAL</t>
  </si>
  <si>
    <t>TOTAL</t>
  </si>
  <si>
    <t xml:space="preserve"> </t>
  </si>
  <si>
    <t>RESPUESTA</t>
  </si>
  <si>
    <t>ZARA</t>
  </si>
  <si>
    <t>Desarrollar paso a paso el siguiente ejercicio:</t>
  </si>
  <si>
    <t>BODEGA PEQUENA</t>
  </si>
  <si>
    <t>BODEGA GRANDE</t>
  </si>
  <si>
    <t>FORMULA</t>
  </si>
  <si>
    <t>RESULTADO</t>
  </si>
  <si>
    <t>B</t>
  </si>
  <si>
    <t>C</t>
  </si>
  <si>
    <t>demanda alta</t>
  </si>
  <si>
    <t>demanda baja</t>
  </si>
  <si>
    <t>$5.000.000* 0.43</t>
  </si>
  <si>
    <t>-$6.000.000* 0.57</t>
  </si>
  <si>
    <t>$11.500.000* 0.43</t>
  </si>
  <si>
    <t>-$1.500.000* 0.57</t>
  </si>
  <si>
    <t>LA MEJOR ALTERNATIVA ES CONSTRUIR UNA BODEGA PEQUEÑA, YA QUE REPRESENTA UN MAYOR VALOR ESPERADO</t>
  </si>
  <si>
    <t>NO CONSTRUIR</t>
  </si>
  <si>
    <t>10 PTS</t>
  </si>
  <si>
    <t>3 PTS</t>
  </si>
  <si>
    <t>23/23 PTS</t>
  </si>
  <si>
    <t>NOTA: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</si>
</sst>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&quot;$&quot;\-#,##0"/>
    <numFmt numFmtId="42" formatCode="_ &quot;$&quot;* #,##0_ ;_ &quot;$&quot;* \-#,##0_ ;_ &quot;$&quot;* &quot;-&quot;_ ;_ 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1" fillId="0" borderId="0" xfId="0" applyFont="1"/>
    <xf numFmtId="0" fontId="1" fillId="3" borderId="4" xfId="0" applyFont="1" applyFill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42" fontId="0" fillId="0" borderId="8" xfId="0" applyNumberFormat="1" applyBorder="1"/>
    <xf numFmtId="0" fontId="2" fillId="0" borderId="9" xfId="0" applyFont="1" applyBorder="1"/>
    <xf numFmtId="0" fontId="2" fillId="0" borderId="10" xfId="0" applyFont="1" applyBorder="1"/>
    <xf numFmtId="42" fontId="0" fillId="0" borderId="11" xfId="0" applyNumberForma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6" fontId="2" fillId="0" borderId="0" xfId="0" applyNumberFormat="1" applyFont="1"/>
    <xf numFmtId="0" fontId="1" fillId="3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2" fontId="1" fillId="0" borderId="0" xfId="0" applyNumberFormat="1" applyFont="1"/>
    <xf numFmtId="42" fontId="0" fillId="0" borderId="15" xfId="0" applyNumberFormat="1" applyBorder="1"/>
    <xf numFmtId="0" fontId="0" fillId="0" borderId="16" xfId="0" applyBorder="1"/>
    <xf numFmtId="42" fontId="0" fillId="0" borderId="17" xfId="0" applyNumberFormat="1" applyBorder="1"/>
    <xf numFmtId="42" fontId="0" fillId="0" borderId="18" xfId="0" applyNumberFormat="1" applyBorder="1"/>
    <xf numFmtId="0" fontId="0" fillId="0" borderId="19" xfId="0" applyBorder="1"/>
    <xf numFmtId="42" fontId="0" fillId="0" borderId="20" xfId="0" applyNumberFormat="1" applyBorder="1"/>
    <xf numFmtId="42" fontId="2" fillId="0" borderId="0" xfId="0" applyNumberFormat="1" applyFont="1"/>
    <xf numFmtId="0" fontId="1" fillId="0" borderId="8" xfId="0" applyFont="1" applyBorder="1" applyAlignment="1">
      <alignment horizontal="center"/>
    </xf>
    <xf numFmtId="42" fontId="1" fillId="0" borderId="8" xfId="0" applyNumberFormat="1" applyFont="1" applyBorder="1" applyAlignment="1">
      <alignment horizontal="center"/>
    </xf>
    <xf numFmtId="42" fontId="0" fillId="0" borderId="0" xfId="0" applyNumberFormat="1"/>
    <xf numFmtId="0" fontId="2" fillId="0" borderId="8" xfId="0" applyFont="1" applyBorder="1"/>
    <xf numFmtId="0" fontId="1" fillId="0" borderId="0" xfId="0" applyFont="1" applyAlignment="1">
      <alignment horizontal="center"/>
    </xf>
    <xf numFmtId="42" fontId="0" fillId="0" borderId="0" xfId="1" applyFont="1"/>
    <xf numFmtId="42" fontId="1" fillId="0" borderId="0" xfId="0" applyNumberFormat="1" applyFont="1" applyAlignment="1">
      <alignment horizontal="left"/>
    </xf>
    <xf numFmtId="0" fontId="0" fillId="0" borderId="0" xfId="0" quotePrefix="1"/>
    <xf numFmtId="42" fontId="0" fillId="4" borderId="0" xfId="1" applyFont="1" applyFill="1"/>
    <xf numFmtId="42" fontId="0" fillId="5" borderId="0" xfId="1" applyFont="1" applyFill="1"/>
    <xf numFmtId="42" fontId="0" fillId="6" borderId="0" xfId="1" applyFont="1" applyFill="1"/>
    <xf numFmtId="42" fontId="0" fillId="7" borderId="0" xfId="1" applyFont="1" applyFill="1"/>
    <xf numFmtId="0" fontId="4" fillId="0" borderId="0" xfId="0" applyFont="1" applyAlignment="1">
      <alignment horizontal="right"/>
    </xf>
    <xf numFmtId="0" fontId="4" fillId="0" borderId="0" xfId="0" applyFont="1"/>
    <xf numFmtId="42" fontId="1" fillId="8" borderId="0" xfId="0" applyNumberFormat="1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201930</xdr:colOff>
      <xdr:row>0</xdr:row>
      <xdr:rowOff>123294</xdr:rowOff>
    </xdr:from>
    <xdr:to>
      <xdr:col>7</xdr:col>
      <xdr:colOff>735330</xdr:colOff>
      <xdr:row>18</xdr:row>
      <xdr:rowOff>97593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7F76A1E-18D3-EF74-9699-50E404CD8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930" y="123294"/>
          <a:ext cx="6151245" cy="3228039"/>
        </a:xfrm>
        <a:prstGeom prst="rect">
          <a:avLst/>
        </a:prstGeom>
      </xdr:spPr>
    </xdr:pic>
    <xdr:clientData/>
  </xdr:twoCellAnchor>
  <xdr:twoCellAnchor>
    <xdr:from>
      <xdr:col>2</xdr:col>
      <xdr:colOff>462916</xdr:colOff>
      <xdr:row>29</xdr:row>
      <xdr:rowOff>89534</xdr:rowOff>
    </xdr:from>
    <xdr:to>
      <xdr:col>3</xdr:col>
      <xdr:colOff>344806</xdr:colOff>
      <xdr:row>32</xdr:row>
      <xdr:rowOff>142874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3F1A5D6-9EBD-4A46-AF89-FD30D54E309D}"/>
            </a:ext>
          </a:extLst>
        </xdr:cNvPr>
        <xdr:cNvSpPr/>
      </xdr:nvSpPr>
      <xdr:spPr>
        <a:xfrm>
          <a:off x="2047876" y="2466974"/>
          <a:ext cx="674370" cy="60198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31</xdr:row>
      <xdr:rowOff>20002</xdr:rowOff>
    </xdr:from>
    <xdr:to>
      <xdr:col>2</xdr:col>
      <xdr:colOff>481966</xdr:colOff>
      <xdr:row>31</xdr:row>
      <xdr:rowOff>28575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E2D070F-443C-47F3-989F-7C18A4C17373}"/>
            </a:ext>
          </a:extLst>
        </xdr:cNvPr>
        <xdr:cNvCxnSpPr/>
      </xdr:nvCxnSpPr>
      <xdr:spPr>
        <a:xfrm flipH="1">
          <a:off x="704850" y="2763202"/>
          <a:ext cx="136207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24</xdr:row>
      <xdr:rowOff>171450</xdr:rowOff>
    </xdr:from>
    <xdr:to>
      <xdr:col>5</xdr:col>
      <xdr:colOff>9525</xdr:colOff>
      <xdr:row>31</xdr:row>
      <xdr:rowOff>26669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251C8873-05E4-4DD4-AB49-8510A78484B0}"/>
            </a:ext>
          </a:extLst>
        </xdr:cNvPr>
        <xdr:cNvCxnSpPr>
          <a:stCxn id="3" idx="3"/>
        </xdr:cNvCxnSpPr>
      </xdr:nvCxnSpPr>
      <xdr:spPr>
        <a:xfrm flipV="1">
          <a:off x="2722246" y="1634490"/>
          <a:ext cx="1249679" cy="11353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31</xdr:row>
      <xdr:rowOff>0</xdr:rowOff>
    </xdr:from>
    <xdr:to>
      <xdr:col>6</xdr:col>
      <xdr:colOff>552450</xdr:colOff>
      <xdr:row>31</xdr:row>
      <xdr:rowOff>22859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DD1DBD9F-9FCE-48E9-83B0-67678B1B003A}"/>
            </a:ext>
          </a:extLst>
        </xdr:cNvPr>
        <xdr:cNvCxnSpPr/>
      </xdr:nvCxnSpPr>
      <xdr:spPr>
        <a:xfrm flipV="1">
          <a:off x="2731770" y="2743200"/>
          <a:ext cx="2606040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31</xdr:row>
      <xdr:rowOff>40004</xdr:rowOff>
    </xdr:from>
    <xdr:to>
      <xdr:col>5</xdr:col>
      <xdr:colOff>9525</xdr:colOff>
      <xdr:row>37</xdr:row>
      <xdr:rowOff>76200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65E3E17D-F606-4DDC-94BF-5637E26292FC}"/>
            </a:ext>
          </a:extLst>
        </xdr:cNvPr>
        <xdr:cNvCxnSpPr/>
      </xdr:nvCxnSpPr>
      <xdr:spPr>
        <a:xfrm>
          <a:off x="2708910" y="2783204"/>
          <a:ext cx="1263015" cy="113347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23</xdr:row>
      <xdr:rowOff>15240</xdr:rowOff>
    </xdr:from>
    <xdr:to>
      <xdr:col>7</xdr:col>
      <xdr:colOff>596265</xdr:colOff>
      <xdr:row>26</xdr:row>
      <xdr:rowOff>110490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C42646B7-388E-43B1-A471-AA6608E3214B}"/>
            </a:ext>
          </a:extLst>
        </xdr:cNvPr>
        <xdr:cNvSpPr/>
      </xdr:nvSpPr>
      <xdr:spPr>
        <a:xfrm>
          <a:off x="5419725" y="1295400"/>
          <a:ext cx="784860" cy="64389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28</xdr:row>
      <xdr:rowOff>177165</xdr:rowOff>
    </xdr:from>
    <xdr:to>
      <xdr:col>7</xdr:col>
      <xdr:colOff>573405</xdr:colOff>
      <xdr:row>32</xdr:row>
      <xdr:rowOff>95250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251DF426-EBDB-42C6-AF60-E177F0ACDA20}"/>
            </a:ext>
          </a:extLst>
        </xdr:cNvPr>
        <xdr:cNvSpPr/>
      </xdr:nvSpPr>
      <xdr:spPr>
        <a:xfrm>
          <a:off x="5393055" y="2371725"/>
          <a:ext cx="788670" cy="64960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24</xdr:row>
      <xdr:rowOff>155258</xdr:rowOff>
    </xdr:from>
    <xdr:to>
      <xdr:col>6</xdr:col>
      <xdr:colOff>630555</xdr:colOff>
      <xdr:row>25</xdr:row>
      <xdr:rowOff>1905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C8111646-8C97-4268-A237-628EE2CB9B3E}"/>
            </a:ext>
          </a:extLst>
        </xdr:cNvPr>
        <xdr:cNvCxnSpPr>
          <a:endCxn id="8" idx="2"/>
        </xdr:cNvCxnSpPr>
      </xdr:nvCxnSpPr>
      <xdr:spPr>
        <a:xfrm flipV="1">
          <a:off x="3956685" y="1618298"/>
          <a:ext cx="1459230" cy="295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24</xdr:row>
      <xdr:rowOff>155258</xdr:rowOff>
    </xdr:from>
    <xdr:to>
      <xdr:col>6</xdr:col>
      <xdr:colOff>630555</xdr:colOff>
      <xdr:row>25</xdr:row>
      <xdr:rowOff>1905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2468EBB0-57B3-440A-AAB3-C154D6CB156B}"/>
            </a:ext>
          </a:extLst>
        </xdr:cNvPr>
        <xdr:cNvCxnSpPr/>
      </xdr:nvCxnSpPr>
      <xdr:spPr>
        <a:xfrm flipV="1">
          <a:off x="3956685" y="1618298"/>
          <a:ext cx="1459230" cy="295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37</xdr:row>
      <xdr:rowOff>76200</xdr:rowOff>
    </xdr:from>
    <xdr:to>
      <xdr:col>6</xdr:col>
      <xdr:colOff>752475</xdr:colOff>
      <xdr:row>37</xdr:row>
      <xdr:rowOff>78105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3DA056DB-D5C1-4B45-BC94-6FE754AF11D7}"/>
            </a:ext>
          </a:extLst>
        </xdr:cNvPr>
        <xdr:cNvCxnSpPr/>
      </xdr:nvCxnSpPr>
      <xdr:spPr>
        <a:xfrm flipV="1">
          <a:off x="3983355" y="3916680"/>
          <a:ext cx="1554480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36</xdr:row>
      <xdr:rowOff>11430</xdr:rowOff>
    </xdr:from>
    <xdr:to>
      <xdr:col>7</xdr:col>
      <xdr:colOff>409579</xdr:colOff>
      <xdr:row>38</xdr:row>
      <xdr:rowOff>144780</xdr:rowOff>
    </xdr:to>
    <xdr:sp macro="" textlink="">
      <xdr:nvSpPr>
        <xdr:cNvPr id="13" name="Triángulo isósceles 12">
          <a:extLst>
            <a:ext uri="{FF2B5EF4-FFF2-40B4-BE49-F238E27FC236}">
              <a16:creationId xmlns:a16="http://schemas.microsoft.com/office/drawing/2014/main" id="{4D6B4A62-4A1C-4D38-8127-7E21B5C067DB}"/>
            </a:ext>
          </a:extLst>
        </xdr:cNvPr>
        <xdr:cNvSpPr/>
      </xdr:nvSpPr>
      <xdr:spPr>
        <a:xfrm rot="16200000">
          <a:off x="5536886" y="3687126"/>
          <a:ext cx="499110" cy="462917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chemeClr val="tx1"/>
              </a:solidFill>
            </a:rPr>
            <a:t>5</a:t>
          </a:r>
        </a:p>
      </xdr:txBody>
    </xdr:sp>
    <xdr:clientData/>
  </xdr:twoCellAnchor>
  <xdr:twoCellAnchor>
    <xdr:from>
      <xdr:col>7</xdr:col>
      <xdr:colOff>592455</xdr:colOff>
      <xdr:row>23</xdr:row>
      <xdr:rowOff>28575</xdr:rowOff>
    </xdr:from>
    <xdr:to>
      <xdr:col>8</xdr:col>
      <xdr:colOff>438150</xdr:colOff>
      <xdr:row>24</xdr:row>
      <xdr:rowOff>155258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7DA25218-324F-4F36-B313-DBA7BD5B79F2}"/>
            </a:ext>
          </a:extLst>
        </xdr:cNvPr>
        <xdr:cNvCxnSpPr>
          <a:stCxn id="8" idx="6"/>
        </xdr:cNvCxnSpPr>
      </xdr:nvCxnSpPr>
      <xdr:spPr>
        <a:xfrm flipV="1">
          <a:off x="6200775" y="1308735"/>
          <a:ext cx="638175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29</xdr:row>
      <xdr:rowOff>47625</xdr:rowOff>
    </xdr:from>
    <xdr:to>
      <xdr:col>8</xdr:col>
      <xdr:colOff>361950</xdr:colOff>
      <xdr:row>30</xdr:row>
      <xdr:rowOff>105728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E3B83931-0F51-46C1-974C-A986E3991592}"/>
            </a:ext>
          </a:extLst>
        </xdr:cNvPr>
        <xdr:cNvCxnSpPr/>
      </xdr:nvCxnSpPr>
      <xdr:spPr>
        <a:xfrm flipV="1">
          <a:off x="6196965" y="2425065"/>
          <a:ext cx="565785" cy="24098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25</xdr:row>
      <xdr:rowOff>16193</xdr:rowOff>
    </xdr:from>
    <xdr:to>
      <xdr:col>8</xdr:col>
      <xdr:colOff>438150</xdr:colOff>
      <xdr:row>26</xdr:row>
      <xdr:rowOff>19050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BF8C7641-79E4-4F57-BA8A-961CFE4F1BC9}"/>
            </a:ext>
          </a:extLst>
        </xdr:cNvPr>
        <xdr:cNvCxnSpPr/>
      </xdr:nvCxnSpPr>
      <xdr:spPr>
        <a:xfrm>
          <a:off x="6198870" y="1662113"/>
          <a:ext cx="640080" cy="18573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30</xdr:row>
      <xdr:rowOff>132398</xdr:rowOff>
    </xdr:from>
    <xdr:to>
      <xdr:col>8</xdr:col>
      <xdr:colOff>409575</xdr:colOff>
      <xdr:row>32</xdr:row>
      <xdr:rowOff>104775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CCB60A71-D4A4-4544-947A-14AC35EF1ADC}"/>
            </a:ext>
          </a:extLst>
        </xdr:cNvPr>
        <xdr:cNvCxnSpPr/>
      </xdr:nvCxnSpPr>
      <xdr:spPr>
        <a:xfrm>
          <a:off x="6191250" y="2692718"/>
          <a:ext cx="619125" cy="33813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23</xdr:row>
      <xdr:rowOff>0</xdr:rowOff>
    </xdr:from>
    <xdr:to>
      <xdr:col>9</xdr:col>
      <xdr:colOff>733425</xdr:colOff>
      <xdr:row>23</xdr:row>
      <xdr:rowOff>21908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2FBC26C8-8F80-464B-91C2-82269DACEFBA}"/>
            </a:ext>
          </a:extLst>
        </xdr:cNvPr>
        <xdr:cNvCxnSpPr/>
      </xdr:nvCxnSpPr>
      <xdr:spPr>
        <a:xfrm flipV="1">
          <a:off x="6844665" y="1280160"/>
          <a:ext cx="1082040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26</xdr:row>
      <xdr:rowOff>9525</xdr:rowOff>
    </xdr:from>
    <xdr:to>
      <xdr:col>9</xdr:col>
      <xdr:colOff>762000</xdr:colOff>
      <xdr:row>26</xdr:row>
      <xdr:rowOff>16193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B1AA22C2-A6C9-4851-BE8D-0CAC854A4236}"/>
            </a:ext>
          </a:extLst>
        </xdr:cNvPr>
        <xdr:cNvCxnSpPr/>
      </xdr:nvCxnSpPr>
      <xdr:spPr>
        <a:xfrm flipV="1">
          <a:off x="6840855" y="1838325"/>
          <a:ext cx="1114425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29</xdr:row>
      <xdr:rowOff>37148</xdr:rowOff>
    </xdr:from>
    <xdr:to>
      <xdr:col>9</xdr:col>
      <xdr:colOff>762000</xdr:colOff>
      <xdr:row>29</xdr:row>
      <xdr:rowOff>38100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90D267E2-9BDE-4FB5-85F4-016444BCD191}"/>
            </a:ext>
          </a:extLst>
        </xdr:cNvPr>
        <xdr:cNvCxnSpPr/>
      </xdr:nvCxnSpPr>
      <xdr:spPr>
        <a:xfrm>
          <a:off x="6758940" y="2414588"/>
          <a:ext cx="1196340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32</xdr:row>
      <xdr:rowOff>57150</xdr:rowOff>
    </xdr:from>
    <xdr:to>
      <xdr:col>10</xdr:col>
      <xdr:colOff>19050</xdr:colOff>
      <xdr:row>32</xdr:row>
      <xdr:rowOff>86678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BEF19A41-BF04-48F7-AE16-7274EA144117}"/>
            </a:ext>
          </a:extLst>
        </xdr:cNvPr>
        <xdr:cNvCxnSpPr/>
      </xdr:nvCxnSpPr>
      <xdr:spPr>
        <a:xfrm flipV="1">
          <a:off x="6819900" y="2983230"/>
          <a:ext cx="118491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21</xdr:row>
      <xdr:rowOff>123825</xdr:rowOff>
    </xdr:from>
    <xdr:to>
      <xdr:col>10</xdr:col>
      <xdr:colOff>405766</xdr:colOff>
      <xdr:row>24</xdr:row>
      <xdr:rowOff>34290</xdr:rowOff>
    </xdr:to>
    <xdr:sp macro="" textlink="">
      <xdr:nvSpPr>
        <xdr:cNvPr id="22" name="Triángulo isósceles 21">
          <a:extLst>
            <a:ext uri="{FF2B5EF4-FFF2-40B4-BE49-F238E27FC236}">
              <a16:creationId xmlns:a16="http://schemas.microsoft.com/office/drawing/2014/main" id="{402A4634-A033-4039-B9CA-81358D773502}"/>
            </a:ext>
          </a:extLst>
        </xdr:cNvPr>
        <xdr:cNvSpPr/>
      </xdr:nvSpPr>
      <xdr:spPr>
        <a:xfrm rot="16200000">
          <a:off x="7943851" y="1049655"/>
          <a:ext cx="459105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24</xdr:row>
      <xdr:rowOff>142875</xdr:rowOff>
    </xdr:from>
    <xdr:to>
      <xdr:col>10</xdr:col>
      <xdr:colOff>424816</xdr:colOff>
      <xdr:row>27</xdr:row>
      <xdr:rowOff>55245</xdr:rowOff>
    </xdr:to>
    <xdr:sp macro="" textlink="">
      <xdr:nvSpPr>
        <xdr:cNvPr id="23" name="Triángulo isósceles 22">
          <a:extLst>
            <a:ext uri="{FF2B5EF4-FFF2-40B4-BE49-F238E27FC236}">
              <a16:creationId xmlns:a16="http://schemas.microsoft.com/office/drawing/2014/main" id="{32F6DB1A-5D4B-4E23-93AB-D8F536ED0B16}"/>
            </a:ext>
          </a:extLst>
        </xdr:cNvPr>
        <xdr:cNvSpPr/>
      </xdr:nvSpPr>
      <xdr:spPr>
        <a:xfrm rot="16200000">
          <a:off x="7961949" y="1618297"/>
          <a:ext cx="46101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27</xdr:row>
      <xdr:rowOff>160020</xdr:rowOff>
    </xdr:from>
    <xdr:to>
      <xdr:col>10</xdr:col>
      <xdr:colOff>417197</xdr:colOff>
      <xdr:row>30</xdr:row>
      <xdr:rowOff>72390</xdr:rowOff>
    </xdr:to>
    <xdr:sp macro="" textlink="">
      <xdr:nvSpPr>
        <xdr:cNvPr id="24" name="Triángulo isósceles 23">
          <a:extLst>
            <a:ext uri="{FF2B5EF4-FFF2-40B4-BE49-F238E27FC236}">
              <a16:creationId xmlns:a16="http://schemas.microsoft.com/office/drawing/2014/main" id="{B22FE200-5177-4FA8-B8A3-E23203D6D676}"/>
            </a:ext>
          </a:extLst>
        </xdr:cNvPr>
        <xdr:cNvSpPr/>
      </xdr:nvSpPr>
      <xdr:spPr>
        <a:xfrm rot="16200000">
          <a:off x="7952425" y="2182177"/>
          <a:ext cx="46101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31</xdr:row>
      <xdr:rowOff>19050</xdr:rowOff>
    </xdr:from>
    <xdr:to>
      <xdr:col>10</xdr:col>
      <xdr:colOff>443866</xdr:colOff>
      <xdr:row>33</xdr:row>
      <xdr:rowOff>112395</xdr:rowOff>
    </xdr:to>
    <xdr:sp macro="" textlink="">
      <xdr:nvSpPr>
        <xdr:cNvPr id="25" name="Triángulo isósceles 24">
          <a:extLst>
            <a:ext uri="{FF2B5EF4-FFF2-40B4-BE49-F238E27FC236}">
              <a16:creationId xmlns:a16="http://schemas.microsoft.com/office/drawing/2014/main" id="{A6357377-1D76-48ED-BF18-A7389D2898A4}"/>
            </a:ext>
          </a:extLst>
        </xdr:cNvPr>
        <xdr:cNvSpPr/>
      </xdr:nvSpPr>
      <xdr:spPr>
        <a:xfrm rot="16200000">
          <a:off x="7982903" y="2774633"/>
          <a:ext cx="45910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2</xdr:col>
      <xdr:colOff>462916</xdr:colOff>
      <xdr:row>58</xdr:row>
      <xdr:rowOff>89534</xdr:rowOff>
    </xdr:from>
    <xdr:to>
      <xdr:col>3</xdr:col>
      <xdr:colOff>344806</xdr:colOff>
      <xdr:row>61</xdr:row>
      <xdr:rowOff>142874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958C47F6-FB42-4D75-AE93-88B38195D1EB}"/>
            </a:ext>
          </a:extLst>
        </xdr:cNvPr>
        <xdr:cNvSpPr/>
      </xdr:nvSpPr>
      <xdr:spPr>
        <a:xfrm>
          <a:off x="2047876" y="7861934"/>
          <a:ext cx="674370" cy="6172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A</a:t>
          </a:r>
        </a:p>
      </xdr:txBody>
    </xdr:sp>
    <xdr:clientData/>
  </xdr:twoCellAnchor>
  <xdr:twoCellAnchor>
    <xdr:from>
      <xdr:col>0</xdr:col>
      <xdr:colOff>704850</xdr:colOff>
      <xdr:row>60</xdr:row>
      <xdr:rowOff>20002</xdr:rowOff>
    </xdr:from>
    <xdr:to>
      <xdr:col>2</xdr:col>
      <xdr:colOff>481966</xdr:colOff>
      <xdr:row>60</xdr:row>
      <xdr:rowOff>28575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78C57840-0CFD-46A2-A3D4-6DF419842759}"/>
            </a:ext>
          </a:extLst>
        </xdr:cNvPr>
        <xdr:cNvCxnSpPr/>
      </xdr:nvCxnSpPr>
      <xdr:spPr>
        <a:xfrm flipH="1">
          <a:off x="704850" y="8165782"/>
          <a:ext cx="136207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53</xdr:row>
      <xdr:rowOff>171450</xdr:rowOff>
    </xdr:from>
    <xdr:to>
      <xdr:col>5</xdr:col>
      <xdr:colOff>9525</xdr:colOff>
      <xdr:row>60</xdr:row>
      <xdr:rowOff>26669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C03C6E69-3234-4AF3-8DD8-A7FC130C8CE9}"/>
            </a:ext>
          </a:extLst>
        </xdr:cNvPr>
        <xdr:cNvCxnSpPr>
          <a:stCxn id="26" idx="3"/>
        </xdr:cNvCxnSpPr>
      </xdr:nvCxnSpPr>
      <xdr:spPr>
        <a:xfrm flipV="1">
          <a:off x="2722246" y="7006590"/>
          <a:ext cx="1249679" cy="1165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60</xdr:row>
      <xdr:rowOff>0</xdr:rowOff>
    </xdr:from>
    <xdr:to>
      <xdr:col>6</xdr:col>
      <xdr:colOff>552450</xdr:colOff>
      <xdr:row>60</xdr:row>
      <xdr:rowOff>22859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B8536CE6-14F2-401B-A784-32FDB4082CE4}"/>
            </a:ext>
          </a:extLst>
        </xdr:cNvPr>
        <xdr:cNvCxnSpPr/>
      </xdr:nvCxnSpPr>
      <xdr:spPr>
        <a:xfrm flipV="1">
          <a:off x="2731770" y="8145780"/>
          <a:ext cx="2606040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60</xdr:row>
      <xdr:rowOff>40004</xdr:rowOff>
    </xdr:from>
    <xdr:to>
      <xdr:col>5</xdr:col>
      <xdr:colOff>9525</xdr:colOff>
      <xdr:row>66</xdr:row>
      <xdr:rowOff>76200</xdr:rowOff>
    </xdr:to>
    <xdr:cxnSp macro="">
      <xdr:nvCxnSpPr>
        <xdr:cNvPr id="30" name="Conector recto 29">
          <a:extLst>
            <a:ext uri="{FF2B5EF4-FFF2-40B4-BE49-F238E27FC236}">
              <a16:creationId xmlns:a16="http://schemas.microsoft.com/office/drawing/2014/main" id="{9962AE8F-D16E-4275-8F5B-8742393D1037}"/>
            </a:ext>
          </a:extLst>
        </xdr:cNvPr>
        <xdr:cNvCxnSpPr/>
      </xdr:nvCxnSpPr>
      <xdr:spPr>
        <a:xfrm>
          <a:off x="2708910" y="8185784"/>
          <a:ext cx="1263015" cy="114871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52</xdr:row>
      <xdr:rowOff>15240</xdr:rowOff>
    </xdr:from>
    <xdr:to>
      <xdr:col>7</xdr:col>
      <xdr:colOff>596265</xdr:colOff>
      <xdr:row>55</xdr:row>
      <xdr:rowOff>110490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C78D781-7804-4799-AF52-EA2F8300814D}"/>
            </a:ext>
          </a:extLst>
        </xdr:cNvPr>
        <xdr:cNvSpPr/>
      </xdr:nvSpPr>
      <xdr:spPr>
        <a:xfrm>
          <a:off x="5419725" y="6667500"/>
          <a:ext cx="784860" cy="65913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57</xdr:row>
      <xdr:rowOff>177165</xdr:rowOff>
    </xdr:from>
    <xdr:to>
      <xdr:col>7</xdr:col>
      <xdr:colOff>573405</xdr:colOff>
      <xdr:row>61</xdr:row>
      <xdr:rowOff>95250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C0391775-A45F-4EB7-8195-8B58D7988B48}"/>
            </a:ext>
          </a:extLst>
        </xdr:cNvPr>
        <xdr:cNvSpPr/>
      </xdr:nvSpPr>
      <xdr:spPr>
        <a:xfrm>
          <a:off x="5393055" y="7759065"/>
          <a:ext cx="788670" cy="67246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53</xdr:row>
      <xdr:rowOff>155258</xdr:rowOff>
    </xdr:from>
    <xdr:to>
      <xdr:col>6</xdr:col>
      <xdr:colOff>630555</xdr:colOff>
      <xdr:row>54</xdr:row>
      <xdr:rowOff>1905</xdr:rowOff>
    </xdr:to>
    <xdr:cxnSp macro="">
      <xdr:nvCxnSpPr>
        <xdr:cNvPr id="33" name="Conector recto 32">
          <a:extLst>
            <a:ext uri="{FF2B5EF4-FFF2-40B4-BE49-F238E27FC236}">
              <a16:creationId xmlns:a16="http://schemas.microsoft.com/office/drawing/2014/main" id="{7D3EB9F2-39D6-4B03-882C-CC3AF710A92E}"/>
            </a:ext>
          </a:extLst>
        </xdr:cNvPr>
        <xdr:cNvCxnSpPr>
          <a:endCxn id="31" idx="2"/>
        </xdr:cNvCxnSpPr>
      </xdr:nvCxnSpPr>
      <xdr:spPr>
        <a:xfrm flipV="1">
          <a:off x="3956685" y="6990398"/>
          <a:ext cx="1459230" cy="3714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53</xdr:row>
      <xdr:rowOff>155258</xdr:rowOff>
    </xdr:from>
    <xdr:to>
      <xdr:col>6</xdr:col>
      <xdr:colOff>630555</xdr:colOff>
      <xdr:row>54</xdr:row>
      <xdr:rowOff>1905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6C8FF6B1-405F-4713-85FE-8F2ECD4E3343}"/>
            </a:ext>
          </a:extLst>
        </xdr:cNvPr>
        <xdr:cNvCxnSpPr/>
      </xdr:nvCxnSpPr>
      <xdr:spPr>
        <a:xfrm flipV="1">
          <a:off x="3956685" y="6990398"/>
          <a:ext cx="1459230" cy="3714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66</xdr:row>
      <xdr:rowOff>76200</xdr:rowOff>
    </xdr:from>
    <xdr:to>
      <xdr:col>6</xdr:col>
      <xdr:colOff>752475</xdr:colOff>
      <xdr:row>66</xdr:row>
      <xdr:rowOff>78105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B763129C-BD7F-4A18-9868-33E43EDFE4B7}"/>
            </a:ext>
          </a:extLst>
        </xdr:cNvPr>
        <xdr:cNvCxnSpPr/>
      </xdr:nvCxnSpPr>
      <xdr:spPr>
        <a:xfrm flipV="1">
          <a:off x="3983355" y="9334500"/>
          <a:ext cx="1554480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65</xdr:row>
      <xdr:rowOff>11430</xdr:rowOff>
    </xdr:from>
    <xdr:to>
      <xdr:col>7</xdr:col>
      <xdr:colOff>409579</xdr:colOff>
      <xdr:row>67</xdr:row>
      <xdr:rowOff>144780</xdr:rowOff>
    </xdr:to>
    <xdr:sp macro="" textlink="">
      <xdr:nvSpPr>
        <xdr:cNvPr id="36" name="Triángulo isósceles 35">
          <a:extLst>
            <a:ext uri="{FF2B5EF4-FFF2-40B4-BE49-F238E27FC236}">
              <a16:creationId xmlns:a16="http://schemas.microsoft.com/office/drawing/2014/main" id="{9DA6190E-A076-498E-930A-EFFE3BC8259C}"/>
            </a:ext>
          </a:extLst>
        </xdr:cNvPr>
        <xdr:cNvSpPr/>
      </xdr:nvSpPr>
      <xdr:spPr>
        <a:xfrm rot="16200000">
          <a:off x="5536886" y="9104946"/>
          <a:ext cx="499110" cy="462917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5</a:t>
          </a:r>
        </a:p>
      </xdr:txBody>
    </xdr:sp>
    <xdr:clientData/>
  </xdr:twoCellAnchor>
  <xdr:twoCellAnchor>
    <xdr:from>
      <xdr:col>7</xdr:col>
      <xdr:colOff>592455</xdr:colOff>
      <xdr:row>52</xdr:row>
      <xdr:rowOff>28575</xdr:rowOff>
    </xdr:from>
    <xdr:to>
      <xdr:col>8</xdr:col>
      <xdr:colOff>438150</xdr:colOff>
      <xdr:row>53</xdr:row>
      <xdr:rowOff>155258</xdr:rowOff>
    </xdr:to>
    <xdr:cxnSp macro="">
      <xdr:nvCxnSpPr>
        <xdr:cNvPr id="37" name="Conector recto 36">
          <a:extLst>
            <a:ext uri="{FF2B5EF4-FFF2-40B4-BE49-F238E27FC236}">
              <a16:creationId xmlns:a16="http://schemas.microsoft.com/office/drawing/2014/main" id="{E13F4CF2-48D8-4FCD-B75B-AF5FB1922B41}"/>
            </a:ext>
          </a:extLst>
        </xdr:cNvPr>
        <xdr:cNvCxnSpPr>
          <a:stCxn id="31" idx="6"/>
        </xdr:cNvCxnSpPr>
      </xdr:nvCxnSpPr>
      <xdr:spPr>
        <a:xfrm flipV="1">
          <a:off x="6200775" y="6680835"/>
          <a:ext cx="638175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58</xdr:row>
      <xdr:rowOff>47625</xdr:rowOff>
    </xdr:from>
    <xdr:to>
      <xdr:col>8</xdr:col>
      <xdr:colOff>361950</xdr:colOff>
      <xdr:row>59</xdr:row>
      <xdr:rowOff>105728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93FCDF76-1F3B-49D3-9587-1A62520FA75C}"/>
            </a:ext>
          </a:extLst>
        </xdr:cNvPr>
        <xdr:cNvCxnSpPr/>
      </xdr:nvCxnSpPr>
      <xdr:spPr>
        <a:xfrm flipV="1">
          <a:off x="6196965" y="7820025"/>
          <a:ext cx="565785" cy="24860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54</xdr:row>
      <xdr:rowOff>16193</xdr:rowOff>
    </xdr:from>
    <xdr:to>
      <xdr:col>8</xdr:col>
      <xdr:colOff>438150</xdr:colOff>
      <xdr:row>55</xdr:row>
      <xdr:rowOff>19050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E8DDE882-797D-44D6-9DE7-026A986F16C4}"/>
            </a:ext>
          </a:extLst>
        </xdr:cNvPr>
        <xdr:cNvCxnSpPr/>
      </xdr:nvCxnSpPr>
      <xdr:spPr>
        <a:xfrm>
          <a:off x="6198870" y="7041833"/>
          <a:ext cx="640080" cy="19335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59</xdr:row>
      <xdr:rowOff>132398</xdr:rowOff>
    </xdr:from>
    <xdr:to>
      <xdr:col>8</xdr:col>
      <xdr:colOff>409575</xdr:colOff>
      <xdr:row>61</xdr:row>
      <xdr:rowOff>104775</xdr:rowOff>
    </xdr:to>
    <xdr:cxnSp macro="">
      <xdr:nvCxnSpPr>
        <xdr:cNvPr id="40" name="Conector recto 39">
          <a:extLst>
            <a:ext uri="{FF2B5EF4-FFF2-40B4-BE49-F238E27FC236}">
              <a16:creationId xmlns:a16="http://schemas.microsoft.com/office/drawing/2014/main" id="{D594AF1D-4B26-4017-9B66-F4E1F8E4E0A7}"/>
            </a:ext>
          </a:extLst>
        </xdr:cNvPr>
        <xdr:cNvCxnSpPr/>
      </xdr:nvCxnSpPr>
      <xdr:spPr>
        <a:xfrm>
          <a:off x="6191250" y="8095298"/>
          <a:ext cx="619125" cy="34575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52</xdr:row>
      <xdr:rowOff>0</xdr:rowOff>
    </xdr:from>
    <xdr:to>
      <xdr:col>9</xdr:col>
      <xdr:colOff>733425</xdr:colOff>
      <xdr:row>52</xdr:row>
      <xdr:rowOff>21908</xdr:rowOff>
    </xdr:to>
    <xdr:cxnSp macro="">
      <xdr:nvCxnSpPr>
        <xdr:cNvPr id="41" name="Conector recto 40">
          <a:extLst>
            <a:ext uri="{FF2B5EF4-FFF2-40B4-BE49-F238E27FC236}">
              <a16:creationId xmlns:a16="http://schemas.microsoft.com/office/drawing/2014/main" id="{A7F55534-F5F6-4841-9A4B-F6F5E638F8F9}"/>
            </a:ext>
          </a:extLst>
        </xdr:cNvPr>
        <xdr:cNvCxnSpPr/>
      </xdr:nvCxnSpPr>
      <xdr:spPr>
        <a:xfrm flipV="1">
          <a:off x="6844665" y="6652260"/>
          <a:ext cx="1082040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55</xdr:row>
      <xdr:rowOff>9525</xdr:rowOff>
    </xdr:from>
    <xdr:to>
      <xdr:col>9</xdr:col>
      <xdr:colOff>762000</xdr:colOff>
      <xdr:row>55</xdr:row>
      <xdr:rowOff>16193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7E57611D-4905-4D2C-8172-8369F3EC5432}"/>
            </a:ext>
          </a:extLst>
        </xdr:cNvPr>
        <xdr:cNvCxnSpPr/>
      </xdr:nvCxnSpPr>
      <xdr:spPr>
        <a:xfrm flipV="1">
          <a:off x="6840855" y="7225665"/>
          <a:ext cx="1114425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58</xdr:row>
      <xdr:rowOff>37148</xdr:rowOff>
    </xdr:from>
    <xdr:to>
      <xdr:col>9</xdr:col>
      <xdr:colOff>762000</xdr:colOff>
      <xdr:row>58</xdr:row>
      <xdr:rowOff>38100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299976F8-4F02-4981-8F5E-3C68F3025B2B}"/>
            </a:ext>
          </a:extLst>
        </xdr:cNvPr>
        <xdr:cNvCxnSpPr/>
      </xdr:nvCxnSpPr>
      <xdr:spPr>
        <a:xfrm>
          <a:off x="6758940" y="7809548"/>
          <a:ext cx="1196340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61</xdr:row>
      <xdr:rowOff>57150</xdr:rowOff>
    </xdr:from>
    <xdr:to>
      <xdr:col>10</xdr:col>
      <xdr:colOff>19050</xdr:colOff>
      <xdr:row>61</xdr:row>
      <xdr:rowOff>86678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EAD44B17-4E3A-4FAA-9F28-914953CAD584}"/>
            </a:ext>
          </a:extLst>
        </xdr:cNvPr>
        <xdr:cNvCxnSpPr/>
      </xdr:nvCxnSpPr>
      <xdr:spPr>
        <a:xfrm flipV="1">
          <a:off x="6819900" y="8393430"/>
          <a:ext cx="118491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50</xdr:row>
      <xdr:rowOff>123825</xdr:rowOff>
    </xdr:from>
    <xdr:to>
      <xdr:col>10</xdr:col>
      <xdr:colOff>405766</xdr:colOff>
      <xdr:row>53</xdr:row>
      <xdr:rowOff>34290</xdr:rowOff>
    </xdr:to>
    <xdr:sp macro="" textlink="">
      <xdr:nvSpPr>
        <xdr:cNvPr id="45" name="Triángulo isósceles 44">
          <a:extLst>
            <a:ext uri="{FF2B5EF4-FFF2-40B4-BE49-F238E27FC236}">
              <a16:creationId xmlns:a16="http://schemas.microsoft.com/office/drawing/2014/main" id="{982EDDE6-80E3-4612-B6C6-75AE686D1B9F}"/>
            </a:ext>
          </a:extLst>
        </xdr:cNvPr>
        <xdr:cNvSpPr/>
      </xdr:nvSpPr>
      <xdr:spPr>
        <a:xfrm rot="16200000">
          <a:off x="7936231" y="6414135"/>
          <a:ext cx="474345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53</xdr:row>
      <xdr:rowOff>142875</xdr:rowOff>
    </xdr:from>
    <xdr:to>
      <xdr:col>10</xdr:col>
      <xdr:colOff>424816</xdr:colOff>
      <xdr:row>56</xdr:row>
      <xdr:rowOff>55245</xdr:rowOff>
    </xdr:to>
    <xdr:sp macro="" textlink="">
      <xdr:nvSpPr>
        <xdr:cNvPr id="46" name="Triángulo isósceles 45">
          <a:extLst>
            <a:ext uri="{FF2B5EF4-FFF2-40B4-BE49-F238E27FC236}">
              <a16:creationId xmlns:a16="http://schemas.microsoft.com/office/drawing/2014/main" id="{0CAB652B-FD50-438C-B905-1EC8B77B4AD4}"/>
            </a:ext>
          </a:extLst>
        </xdr:cNvPr>
        <xdr:cNvSpPr/>
      </xdr:nvSpPr>
      <xdr:spPr>
        <a:xfrm rot="16200000">
          <a:off x="7954329" y="6998017"/>
          <a:ext cx="47625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56</xdr:row>
      <xdr:rowOff>160020</xdr:rowOff>
    </xdr:from>
    <xdr:to>
      <xdr:col>10</xdr:col>
      <xdr:colOff>417197</xdr:colOff>
      <xdr:row>59</xdr:row>
      <xdr:rowOff>72390</xdr:rowOff>
    </xdr:to>
    <xdr:sp macro="" textlink="">
      <xdr:nvSpPr>
        <xdr:cNvPr id="47" name="Triángulo isósceles 46">
          <a:extLst>
            <a:ext uri="{FF2B5EF4-FFF2-40B4-BE49-F238E27FC236}">
              <a16:creationId xmlns:a16="http://schemas.microsoft.com/office/drawing/2014/main" id="{859568F9-486A-46E5-98FF-19BC86FE2A03}"/>
            </a:ext>
          </a:extLst>
        </xdr:cNvPr>
        <xdr:cNvSpPr/>
      </xdr:nvSpPr>
      <xdr:spPr>
        <a:xfrm rot="16200000">
          <a:off x="7944805" y="7577137"/>
          <a:ext cx="47625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60</xdr:row>
      <xdr:rowOff>19050</xdr:rowOff>
    </xdr:from>
    <xdr:to>
      <xdr:col>10</xdr:col>
      <xdr:colOff>443866</xdr:colOff>
      <xdr:row>62</xdr:row>
      <xdr:rowOff>112395</xdr:rowOff>
    </xdr:to>
    <xdr:sp macro="" textlink="">
      <xdr:nvSpPr>
        <xdr:cNvPr id="48" name="Triángulo isósceles 47">
          <a:extLst>
            <a:ext uri="{FF2B5EF4-FFF2-40B4-BE49-F238E27FC236}">
              <a16:creationId xmlns:a16="http://schemas.microsoft.com/office/drawing/2014/main" id="{DB681988-A068-414B-BBEA-152CCA30BC58}"/>
            </a:ext>
          </a:extLst>
        </xdr:cNvPr>
        <xdr:cNvSpPr/>
      </xdr:nvSpPr>
      <xdr:spPr>
        <a:xfrm rot="16200000">
          <a:off x="7975283" y="8184833"/>
          <a:ext cx="47434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10</xdr:col>
      <xdr:colOff>561975</xdr:colOff>
      <xdr:row>51</xdr:row>
      <xdr:rowOff>74295</xdr:rowOff>
    </xdr:from>
    <xdr:to>
      <xdr:col>11</xdr:col>
      <xdr:colOff>40005</xdr:colOff>
      <xdr:row>51</xdr:row>
      <xdr:rowOff>123825</xdr:rowOff>
    </xdr:to>
    <xdr:sp macro="" textlink="">
      <xdr:nvSpPr>
        <xdr:cNvPr id="49" name="Flecha: a la derecha 48">
          <a:extLst>
            <a:ext uri="{FF2B5EF4-FFF2-40B4-BE49-F238E27FC236}">
              <a16:creationId xmlns:a16="http://schemas.microsoft.com/office/drawing/2014/main" id="{73915665-4774-4891-BA87-C9FD80F02AC8}"/>
            </a:ext>
          </a:extLst>
        </xdr:cNvPr>
        <xdr:cNvSpPr/>
      </xdr:nvSpPr>
      <xdr:spPr>
        <a:xfrm>
          <a:off x="8547735" y="6536055"/>
          <a:ext cx="270510" cy="4953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514350</xdr:colOff>
      <xdr:row>54</xdr:row>
      <xdr:rowOff>47625</xdr:rowOff>
    </xdr:from>
    <xdr:to>
      <xdr:col>10</xdr:col>
      <xdr:colOff>788670</xdr:colOff>
      <xdr:row>54</xdr:row>
      <xdr:rowOff>106680</xdr:rowOff>
    </xdr:to>
    <xdr:sp macro="" textlink="">
      <xdr:nvSpPr>
        <xdr:cNvPr id="50" name="Flecha: a la derecha 49">
          <a:extLst>
            <a:ext uri="{FF2B5EF4-FFF2-40B4-BE49-F238E27FC236}">
              <a16:creationId xmlns:a16="http://schemas.microsoft.com/office/drawing/2014/main" id="{46286323-C978-4FC7-9CE0-D6227016AA1B}"/>
            </a:ext>
          </a:extLst>
        </xdr:cNvPr>
        <xdr:cNvSpPr/>
      </xdr:nvSpPr>
      <xdr:spPr>
        <a:xfrm>
          <a:off x="8500110" y="7073265"/>
          <a:ext cx="27432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523875</xdr:colOff>
      <xdr:row>58</xdr:row>
      <xdr:rowOff>76200</xdr:rowOff>
    </xdr:from>
    <xdr:to>
      <xdr:col>11</xdr:col>
      <xdr:colOff>11430</xdr:colOff>
      <xdr:row>58</xdr:row>
      <xdr:rowOff>135255</xdr:rowOff>
    </xdr:to>
    <xdr:sp macro="" textlink="">
      <xdr:nvSpPr>
        <xdr:cNvPr id="51" name="Flecha: a la derecha 50">
          <a:extLst>
            <a:ext uri="{FF2B5EF4-FFF2-40B4-BE49-F238E27FC236}">
              <a16:creationId xmlns:a16="http://schemas.microsoft.com/office/drawing/2014/main" id="{484745C7-047D-4BBA-AD6A-DBB4E0281659}"/>
            </a:ext>
          </a:extLst>
        </xdr:cNvPr>
        <xdr:cNvSpPr/>
      </xdr:nvSpPr>
      <xdr:spPr>
        <a:xfrm>
          <a:off x="8509635" y="7848600"/>
          <a:ext cx="280035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544830</xdr:colOff>
      <xdr:row>61</xdr:row>
      <xdr:rowOff>57150</xdr:rowOff>
    </xdr:from>
    <xdr:to>
      <xdr:col>11</xdr:col>
      <xdr:colOff>26670</xdr:colOff>
      <xdr:row>61</xdr:row>
      <xdr:rowOff>112395</xdr:rowOff>
    </xdr:to>
    <xdr:sp macro="" textlink="">
      <xdr:nvSpPr>
        <xdr:cNvPr id="52" name="Flecha: a la derecha 51">
          <a:extLst>
            <a:ext uri="{FF2B5EF4-FFF2-40B4-BE49-F238E27FC236}">
              <a16:creationId xmlns:a16="http://schemas.microsoft.com/office/drawing/2014/main" id="{ECCB70A4-07DE-411F-A751-D0F060FCE7AE}"/>
            </a:ext>
          </a:extLst>
        </xdr:cNvPr>
        <xdr:cNvSpPr/>
      </xdr:nvSpPr>
      <xdr:spPr>
        <a:xfrm>
          <a:off x="8530590" y="8393430"/>
          <a:ext cx="274320" cy="5524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438150</xdr:colOff>
      <xdr:row>66</xdr:row>
      <xdr:rowOff>76200</xdr:rowOff>
    </xdr:from>
    <xdr:to>
      <xdr:col>7</xdr:col>
      <xdr:colOff>716280</xdr:colOff>
      <xdr:row>66</xdr:row>
      <xdr:rowOff>135255</xdr:rowOff>
    </xdr:to>
    <xdr:sp macro="" textlink="">
      <xdr:nvSpPr>
        <xdr:cNvPr id="53" name="Flecha: a la derecha 52">
          <a:extLst>
            <a:ext uri="{FF2B5EF4-FFF2-40B4-BE49-F238E27FC236}">
              <a16:creationId xmlns:a16="http://schemas.microsoft.com/office/drawing/2014/main" id="{DB5B8120-4992-409D-B224-DEBCD173D7E0}"/>
            </a:ext>
          </a:extLst>
        </xdr:cNvPr>
        <xdr:cNvSpPr/>
      </xdr:nvSpPr>
      <xdr:spPr>
        <a:xfrm>
          <a:off x="6046470" y="933450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552450</xdr:colOff>
      <xdr:row>34</xdr:row>
      <xdr:rowOff>4762</xdr:rowOff>
    </xdr:from>
    <xdr:to>
      <xdr:col>14</xdr:col>
      <xdr:colOff>614363</xdr:colOff>
      <xdr:row>49</xdr:row>
      <xdr:rowOff>23813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D5EABEDF-81FB-4535-9562-97081AAA9892}"/>
            </a:ext>
          </a:extLst>
        </xdr:cNvPr>
        <xdr:cNvSpPr txBox="1"/>
      </xdr:nvSpPr>
      <xdr:spPr>
        <a:xfrm>
          <a:off x="7015163" y="6157912"/>
          <a:ext cx="5557838" cy="2800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ZARA</a:t>
          </a:r>
        </a:p>
        <a:p>
          <a:r>
            <a:rPr lang="es-CL" sz="1100"/>
            <a:t>opciones</a:t>
          </a:r>
        </a:p>
        <a:p>
          <a:r>
            <a:rPr lang="es-CL" sz="1100"/>
            <a:t>1</a:t>
          </a:r>
        </a:p>
        <a:p>
          <a:r>
            <a:rPr lang="es-CL" sz="1100"/>
            <a:t>     instalacion grande</a:t>
          </a:r>
        </a:p>
        <a:p>
          <a:r>
            <a:rPr lang="es-CL" sz="1100"/>
            <a:t>	Costo 18000000 18 millones</a:t>
          </a:r>
        </a:p>
        <a:p>
          <a:r>
            <a:rPr lang="es-CL" sz="1100"/>
            <a:t>	     si la demanda es baja se espera recibir 12000000  12 millones	</a:t>
          </a:r>
        </a:p>
        <a:p>
          <a:r>
            <a:rPr lang="es-CL" sz="1100"/>
            <a:t> 	     si la demanda es alta se espera 23000000 23 millones </a:t>
          </a:r>
        </a:p>
        <a:p>
          <a:r>
            <a:rPr lang="es-CL" sz="1100"/>
            <a:t>2</a:t>
          </a:r>
        </a:p>
        <a:p>
          <a:r>
            <a:rPr lang="es-CL" sz="1100"/>
            <a:t> bodega </a:t>
          </a:r>
          <a:r>
            <a:rPr lang="en-US" sz="1100"/>
            <a:t>pequeña</a:t>
          </a:r>
        </a:p>
        <a:p>
          <a:r>
            <a:rPr lang="es-CL" sz="1100"/>
            <a:t>	costo 11500000 </a:t>
          </a:r>
        </a:p>
        <a:p>
          <a:r>
            <a:rPr lang="es-CL" sz="1100"/>
            <a:t>	   si la demanda es baja se esperan 10000000 10 millones </a:t>
          </a:r>
        </a:p>
        <a:p>
          <a:r>
            <a:rPr lang="es-CL" sz="1100"/>
            <a:t>	  si la demanda es alta se espera 23000000 23 millones</a:t>
          </a:r>
        </a:p>
        <a:p>
          <a:r>
            <a:rPr lang="es-CL" sz="1100"/>
            <a:t>en ambos casos la probabilidad de</a:t>
          </a:r>
        </a:p>
        <a:p>
          <a:r>
            <a:rPr lang="es-CL" sz="1100"/>
            <a:t>    que sea alta es de 0,43%</a:t>
          </a:r>
        </a:p>
        <a:p>
          <a:r>
            <a:rPr lang="es-CL" sz="1100"/>
            <a:t>    que sea baja es de 0,57%</a:t>
          </a:r>
        </a:p>
        <a:p>
          <a:r>
            <a:rPr lang="es-CL" sz="1100"/>
            <a:t>si no se construye no se generan ingresos adicionales</a:t>
          </a:r>
        </a:p>
        <a:p>
          <a:r>
            <a:rPr lang="es-CL" sz="1100"/>
            <a:t>		</a:t>
          </a:r>
        </a:p>
      </xdr:txBody>
    </xdr:sp>
    <xdr:clientData/>
  </xdr:twoCellAnchor>
  <xdr:twoCellAnchor>
    <xdr:from>
      <xdr:col>8</xdr:col>
      <xdr:colOff>647700</xdr:colOff>
      <xdr:row>60</xdr:row>
      <xdr:rowOff>138112</xdr:rowOff>
    </xdr:from>
    <xdr:to>
      <xdr:col>8</xdr:col>
      <xdr:colOff>723900</xdr:colOff>
      <xdr:row>62</xdr:row>
      <xdr:rowOff>66357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79F1553E-8E72-4D9C-B525-54962F99C080}"/>
            </a:ext>
          </a:extLst>
        </xdr:cNvPr>
        <xdr:cNvCxnSpPr/>
      </xdr:nvCxnSpPr>
      <xdr:spPr>
        <a:xfrm flipH="1">
          <a:off x="7110413" y="11129962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728980</xdr:colOff>
      <xdr:row>60</xdr:row>
      <xdr:rowOff>173672</xdr:rowOff>
    </xdr:from>
    <xdr:to>
      <xdr:col>8</xdr:col>
      <xdr:colOff>805180</xdr:colOff>
      <xdr:row>62</xdr:row>
      <xdr:rowOff>101917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FE8BDD71-A0DC-4937-8441-DD0C78189FF3}"/>
            </a:ext>
          </a:extLst>
        </xdr:cNvPr>
        <xdr:cNvCxnSpPr/>
      </xdr:nvCxnSpPr>
      <xdr:spPr>
        <a:xfrm flipH="1">
          <a:off x="7191693" y="11165522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547688</xdr:colOff>
      <xdr:row>53</xdr:row>
      <xdr:rowOff>9526</xdr:rowOff>
    </xdr:from>
    <xdr:to>
      <xdr:col>5</xdr:col>
      <xdr:colOff>623888</xdr:colOff>
      <xdr:row>54</xdr:row>
      <xdr:rowOff>118746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B7AB8319-706F-4854-91D5-6BF53C42B584}"/>
            </a:ext>
          </a:extLst>
        </xdr:cNvPr>
        <xdr:cNvCxnSpPr/>
      </xdr:nvCxnSpPr>
      <xdr:spPr>
        <a:xfrm flipH="1">
          <a:off x="4500563" y="9696451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628968</xdr:colOff>
      <xdr:row>53</xdr:row>
      <xdr:rowOff>45086</xdr:rowOff>
    </xdr:from>
    <xdr:to>
      <xdr:col>5</xdr:col>
      <xdr:colOff>705168</xdr:colOff>
      <xdr:row>54</xdr:row>
      <xdr:rowOff>154306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F20F0064-5AC1-4C5E-BA4E-58962E2DF7DC}"/>
            </a:ext>
          </a:extLst>
        </xdr:cNvPr>
        <xdr:cNvCxnSpPr/>
      </xdr:nvCxnSpPr>
      <xdr:spPr>
        <a:xfrm flipH="1">
          <a:off x="4581843" y="9732011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613317</xdr:colOff>
      <xdr:row>44</xdr:row>
      <xdr:rowOff>111512</xdr:rowOff>
    </xdr:from>
    <xdr:to>
      <xdr:col>6</xdr:col>
      <xdr:colOff>696502</xdr:colOff>
      <xdr:row>46</xdr:row>
      <xdr:rowOff>159137</xdr:rowOff>
    </xdr:to>
    <xdr:sp macro="" textlink="">
      <xdr:nvSpPr>
        <xdr:cNvPr id="55" name="Medio marco 54">
          <a:extLst>
            <a:ext uri="{FF2B5EF4-FFF2-40B4-BE49-F238E27FC236}">
              <a16:creationId xmlns:a16="http://schemas.microsoft.com/office/drawing/2014/main" id="{1DA80BFA-2BC7-AC05-0E17-E0561B3C8C3E}"/>
            </a:ext>
          </a:extLst>
        </xdr:cNvPr>
        <xdr:cNvSpPr/>
      </xdr:nvSpPr>
      <xdr:spPr>
        <a:xfrm rot="13179347">
          <a:off x="5389756" y="8382000"/>
          <a:ext cx="83185" cy="428625"/>
        </a:xfrm>
        <a:prstGeom prst="halfFram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15</xdr:col>
      <xdr:colOff>715537</xdr:colOff>
      <xdr:row>55</xdr:row>
      <xdr:rowOff>83634</xdr:rowOff>
    </xdr:from>
    <xdr:to>
      <xdr:col>15</xdr:col>
      <xdr:colOff>798722</xdr:colOff>
      <xdr:row>57</xdr:row>
      <xdr:rowOff>131259</xdr:rowOff>
    </xdr:to>
    <xdr:sp macro="" textlink="">
      <xdr:nvSpPr>
        <xdr:cNvPr id="56" name="Medio marco 55">
          <a:extLst>
            <a:ext uri="{FF2B5EF4-FFF2-40B4-BE49-F238E27FC236}">
              <a16:creationId xmlns:a16="http://schemas.microsoft.com/office/drawing/2014/main" id="{F6E8D6D1-E14A-FCF7-0ABB-1928D937E1BC}"/>
            </a:ext>
          </a:extLst>
        </xdr:cNvPr>
        <xdr:cNvSpPr/>
      </xdr:nvSpPr>
      <xdr:spPr>
        <a:xfrm rot="13179347">
          <a:off x="13465098" y="10444975"/>
          <a:ext cx="83185" cy="428625"/>
        </a:xfrm>
        <a:prstGeom prst="halfFram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559A-69E1-4272-B280-70A9C638CE0A}">
  <dimension ref="B21:T75"/>
  <sheetViews>
    <sheetView tabSelected="1" topLeftCell="A54" zoomScale="82" zoomScaleNormal="82" workbookViewId="0">
      <selection activeCell="I76" sqref="I76"/>
    </sheetView>
  </sheetViews>
  <sheetFormatPr baseColWidth="10" defaultRowHeight="14.4" x14ac:dyDescent="0.3"/>
  <cols>
    <col min="6" max="7" width="12.109375" bestFit="1" customWidth="1"/>
    <col min="8" max="8" width="12.44140625" customWidth="1"/>
    <col min="9" max="9" width="13.88671875" customWidth="1"/>
    <col min="12" max="12" width="14.109375" customWidth="1"/>
    <col min="14" max="14" width="17.5546875" customWidth="1"/>
    <col min="16" max="16" width="14.44140625" customWidth="1"/>
  </cols>
  <sheetData>
    <row r="21" spans="2:9" x14ac:dyDescent="0.3">
      <c r="B21" s="1" t="s">
        <v>15</v>
      </c>
    </row>
    <row r="23" spans="2:9" x14ac:dyDescent="0.3">
      <c r="I23" s="1"/>
    </row>
    <row r="25" spans="2:9" x14ac:dyDescent="0.3">
      <c r="F25" s="1"/>
    </row>
    <row r="26" spans="2:9" x14ac:dyDescent="0.3">
      <c r="I26" s="1"/>
    </row>
    <row r="29" spans="2:9" x14ac:dyDescent="0.3">
      <c r="I29" s="1"/>
    </row>
    <row r="31" spans="2:9" x14ac:dyDescent="0.3">
      <c r="B31" s="2" t="s">
        <v>14</v>
      </c>
      <c r="F31" s="1"/>
    </row>
    <row r="32" spans="2:9" x14ac:dyDescent="0.3">
      <c r="I32" s="1"/>
    </row>
    <row r="37" spans="2:8" x14ac:dyDescent="0.3">
      <c r="F37" s="1"/>
    </row>
    <row r="39" spans="2:8" ht="15" thickBot="1" x14ac:dyDescent="0.35"/>
    <row r="40" spans="2:8" ht="15" thickBot="1" x14ac:dyDescent="0.35">
      <c r="C40" s="40" t="s">
        <v>0</v>
      </c>
      <c r="D40" s="41"/>
      <c r="E40" s="42"/>
      <c r="F40" s="3" t="s">
        <v>1</v>
      </c>
      <c r="G40" s="3" t="s">
        <v>2</v>
      </c>
      <c r="H40" s="3" t="s">
        <v>3</v>
      </c>
    </row>
    <row r="41" spans="2:8" ht="16.2" thickBot="1" x14ac:dyDescent="0.35">
      <c r="B41" s="37" t="s">
        <v>20</v>
      </c>
      <c r="C41" s="4" t="s">
        <v>4</v>
      </c>
      <c r="D41" s="5"/>
      <c r="E41" s="6"/>
      <c r="F41" s="7">
        <v>12000000</v>
      </c>
      <c r="G41" s="7">
        <v>18000000</v>
      </c>
      <c r="H41" s="7">
        <f>F41-G41</f>
        <v>-6000000</v>
      </c>
    </row>
    <row r="42" spans="2:8" ht="16.2" thickBot="1" x14ac:dyDescent="0.35">
      <c r="B42" s="37"/>
      <c r="C42" s="4" t="s">
        <v>5</v>
      </c>
      <c r="D42" s="5"/>
      <c r="E42" s="6"/>
      <c r="F42" s="7">
        <v>23000000</v>
      </c>
      <c r="G42" s="7">
        <v>18000000</v>
      </c>
      <c r="H42" s="7">
        <f t="shared" ref="H42:H45" si="0">F42-G42</f>
        <v>5000000</v>
      </c>
    </row>
    <row r="43" spans="2:8" ht="16.2" thickBot="1" x14ac:dyDescent="0.35">
      <c r="B43" s="37" t="s">
        <v>21</v>
      </c>
      <c r="C43" s="8" t="s">
        <v>6</v>
      </c>
      <c r="D43" s="1"/>
      <c r="E43" s="9"/>
      <c r="F43" s="7">
        <v>10000000</v>
      </c>
      <c r="G43" s="7">
        <v>11500000</v>
      </c>
      <c r="H43" s="7">
        <f t="shared" si="0"/>
        <v>-1500000</v>
      </c>
    </row>
    <row r="44" spans="2:8" ht="16.2" thickBot="1" x14ac:dyDescent="0.35">
      <c r="B44" s="38"/>
      <c r="C44" s="4" t="s">
        <v>7</v>
      </c>
      <c r="D44" s="5"/>
      <c r="E44" s="6"/>
      <c r="F44" s="10">
        <v>23000000</v>
      </c>
      <c r="G44" s="7">
        <v>11500000</v>
      </c>
      <c r="H44" s="7">
        <f t="shared" si="0"/>
        <v>11500000</v>
      </c>
    </row>
    <row r="45" spans="2:8" ht="15" thickBot="1" x14ac:dyDescent="0.35">
      <c r="C45" s="11" t="s">
        <v>8</v>
      </c>
      <c r="D45" s="12"/>
      <c r="E45" s="13"/>
      <c r="F45" s="7"/>
      <c r="G45" s="7">
        <v>0</v>
      </c>
      <c r="H45" s="7">
        <f t="shared" si="0"/>
        <v>0</v>
      </c>
    </row>
    <row r="47" spans="2:8" x14ac:dyDescent="0.3">
      <c r="E47" s="1" t="s">
        <v>30</v>
      </c>
    </row>
    <row r="50" spans="2:20" ht="15" thickBot="1" x14ac:dyDescent="0.35"/>
    <row r="51" spans="2:20" ht="15" thickBot="1" x14ac:dyDescent="0.35">
      <c r="J51">
        <v>0.43</v>
      </c>
      <c r="L51" s="29" t="s">
        <v>3</v>
      </c>
      <c r="N51" s="29" t="s">
        <v>18</v>
      </c>
      <c r="O51" s="29" t="s">
        <v>19</v>
      </c>
      <c r="R51" s="15" t="s">
        <v>3</v>
      </c>
      <c r="S51" s="3" t="s">
        <v>9</v>
      </c>
      <c r="T51" s="16" t="s">
        <v>10</v>
      </c>
    </row>
    <row r="52" spans="2:20" x14ac:dyDescent="0.3">
      <c r="I52" s="2"/>
      <c r="J52" t="s">
        <v>22</v>
      </c>
      <c r="L52" s="24">
        <f>H42</f>
        <v>5000000</v>
      </c>
      <c r="N52" t="s">
        <v>24</v>
      </c>
      <c r="O52" s="34">
        <f>N53</f>
        <v>2150000</v>
      </c>
      <c r="R52" s="18"/>
      <c r="S52" s="19"/>
      <c r="T52" s="20">
        <f>R52*S52</f>
        <v>0</v>
      </c>
    </row>
    <row r="53" spans="2:20" ht="15" thickBot="1" x14ac:dyDescent="0.35">
      <c r="B53" s="2"/>
      <c r="F53" s="2" t="s">
        <v>17</v>
      </c>
      <c r="L53" s="17"/>
      <c r="N53" s="31">
        <f>L52*J51</f>
        <v>2150000</v>
      </c>
      <c r="O53" s="30"/>
      <c r="P53" s="24">
        <f>O52+O55</f>
        <v>-1269999.9999999995</v>
      </c>
      <c r="R53" s="21"/>
      <c r="S53" s="22"/>
      <c r="T53" s="23">
        <f>R53*S53</f>
        <v>0</v>
      </c>
    </row>
    <row r="54" spans="2:20" ht="15" thickBot="1" x14ac:dyDescent="0.35">
      <c r="F54" s="1"/>
      <c r="I54" s="24">
        <f>P53</f>
        <v>-1269999.9999999995</v>
      </c>
      <c r="J54">
        <v>0.56999999999999995</v>
      </c>
      <c r="L54" s="17"/>
      <c r="O54" s="30"/>
      <c r="S54" s="25" t="s">
        <v>11</v>
      </c>
      <c r="T54" s="26">
        <f>SUM(T52:T53)</f>
        <v>0</v>
      </c>
    </row>
    <row r="55" spans="2:20" x14ac:dyDescent="0.3">
      <c r="I55" s="2"/>
      <c r="J55" t="s">
        <v>23</v>
      </c>
      <c r="L55" s="24">
        <f>H41</f>
        <v>-6000000</v>
      </c>
      <c r="N55" s="32" t="s">
        <v>25</v>
      </c>
      <c r="O55" s="35">
        <f>N56</f>
        <v>-3419999.9999999995</v>
      </c>
    </row>
    <row r="56" spans="2:20" x14ac:dyDescent="0.3">
      <c r="L56" s="17"/>
      <c r="N56" s="17">
        <f>L55*J54</f>
        <v>-3419999.9999999995</v>
      </c>
      <c r="O56" s="30"/>
      <c r="Q56" s="1" t="s">
        <v>30</v>
      </c>
    </row>
    <row r="57" spans="2:20" ht="15" thickBot="1" x14ac:dyDescent="0.35">
      <c r="J57">
        <v>0.43</v>
      </c>
      <c r="L57" s="17"/>
      <c r="O57" s="30"/>
    </row>
    <row r="58" spans="2:20" ht="15" thickBot="1" x14ac:dyDescent="0.35">
      <c r="I58" s="2"/>
      <c r="J58" t="s">
        <v>22</v>
      </c>
      <c r="L58" s="39">
        <f>H44</f>
        <v>11500000</v>
      </c>
      <c r="N58" t="s">
        <v>26</v>
      </c>
      <c r="O58" s="33">
        <f>N59</f>
        <v>4945000</v>
      </c>
      <c r="R58" s="15" t="s">
        <v>3</v>
      </c>
      <c r="S58" s="3" t="s">
        <v>9</v>
      </c>
      <c r="T58" s="16" t="s">
        <v>10</v>
      </c>
    </row>
    <row r="59" spans="2:20" x14ac:dyDescent="0.3">
      <c r="F59" s="2" t="s">
        <v>16</v>
      </c>
      <c r="L59" s="24"/>
      <c r="N59" s="17">
        <f>L58*J57</f>
        <v>4945000</v>
      </c>
      <c r="O59" s="30"/>
      <c r="R59" s="18"/>
      <c r="S59" s="19"/>
      <c r="T59" s="20">
        <f>R59*S59</f>
        <v>0</v>
      </c>
    </row>
    <row r="60" spans="2:20" ht="15" thickBot="1" x14ac:dyDescent="0.35">
      <c r="B60" s="2" t="s">
        <v>14</v>
      </c>
      <c r="F60" s="1"/>
      <c r="I60" s="24">
        <f>P60</f>
        <v>4090000</v>
      </c>
      <c r="J60">
        <v>0.56999999999999995</v>
      </c>
      <c r="L60" s="17"/>
      <c r="O60" s="30"/>
      <c r="P60" s="24">
        <f>O58+O61</f>
        <v>4090000</v>
      </c>
      <c r="R60" s="21"/>
      <c r="S60" s="22"/>
      <c r="T60" s="23">
        <f>R60*S60</f>
        <v>0</v>
      </c>
    </row>
    <row r="61" spans="2:20" ht="15" thickBot="1" x14ac:dyDescent="0.35">
      <c r="I61" s="2"/>
      <c r="J61" t="s">
        <v>23</v>
      </c>
      <c r="L61" s="17">
        <f>H43</f>
        <v>-1500000</v>
      </c>
      <c r="N61" s="32" t="s">
        <v>27</v>
      </c>
      <c r="O61" s="36">
        <f>N62</f>
        <v>-854999.99999999988</v>
      </c>
      <c r="S61" s="25" t="s">
        <v>11</v>
      </c>
      <c r="T61" s="26">
        <f>SUM(T59:T60)</f>
        <v>0</v>
      </c>
    </row>
    <row r="62" spans="2:20" x14ac:dyDescent="0.3">
      <c r="L62" s="24"/>
      <c r="N62" s="17">
        <f>L61*J60</f>
        <v>-854999.99999999988</v>
      </c>
    </row>
    <row r="63" spans="2:20" x14ac:dyDescent="0.3">
      <c r="K63" t="s">
        <v>12</v>
      </c>
      <c r="L63" s="27"/>
    </row>
    <row r="66" spans="3:9" x14ac:dyDescent="0.3">
      <c r="F66" s="1" t="s">
        <v>29</v>
      </c>
    </row>
    <row r="67" spans="3:9" x14ac:dyDescent="0.3">
      <c r="H67" s="14"/>
      <c r="I67" s="14">
        <v>0</v>
      </c>
    </row>
    <row r="70" spans="3:9" ht="15" thickBot="1" x14ac:dyDescent="0.35">
      <c r="F70" s="1" t="s">
        <v>28</v>
      </c>
    </row>
    <row r="71" spans="3:9" ht="15" thickBot="1" x14ac:dyDescent="0.35">
      <c r="C71" s="28" t="s">
        <v>13</v>
      </c>
      <c r="G71" s="1" t="s">
        <v>31</v>
      </c>
    </row>
    <row r="74" spans="3:9" x14ac:dyDescent="0.3">
      <c r="D74" s="1" t="s">
        <v>32</v>
      </c>
    </row>
    <row r="75" spans="3:9" x14ac:dyDescent="0.3">
      <c r="D75" s="1" t="s">
        <v>33</v>
      </c>
    </row>
  </sheetData>
  <mergeCells count="1">
    <mergeCell ref="C40:E4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Bastián Alarcón</dc:creator>
  <cp:lastModifiedBy>ALEXANDRA/PATRICIA ALARCÓN VÁSQUEZ</cp:lastModifiedBy>
  <dcterms:created xsi:type="dcterms:W3CDTF">2023-12-18T20:16:06Z</dcterms:created>
  <dcterms:modified xsi:type="dcterms:W3CDTF">2023-12-19T18:26:32Z</dcterms:modified>
</cp:coreProperties>
</file>