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Trabajos Practicos\"/>
    </mc:Choice>
  </mc:AlternateContent>
  <xr:revisionPtr revIDLastSave="0" documentId="13_ncr:1_{47BD823A-B8E4-41DD-8B2E-E9DD90788C3F}" xr6:coauthVersionLast="47" xr6:coauthVersionMax="47" xr10:uidLastSave="{00000000-0000-0000-0000-000000000000}"/>
  <bookViews>
    <workbookView xWindow="6000" yWindow="1080" windowWidth="23424" windowHeight="15996" xr2:uid="{5545963A-EFC3-422F-82C0-EEE7B8E659CE}"/>
  </bookViews>
  <sheets>
    <sheet name="Ejercicio M. Cent. de Gravedad" sheetId="1" r:id="rId1"/>
    <sheet name="Ejercicio M. Gibson y Brown" sheetId="2" r:id="rId2"/>
  </sheets>
  <definedNames>
    <definedName name="_xlchart.v5.0" hidden="1">'Ejercicio M. Cent. de Gravedad'!$B$19</definedName>
    <definedName name="_xlchart.v5.1" hidden="1">'Ejercicio M. Cent. de Gravedad'!$B$20:$B$25</definedName>
    <definedName name="_xlchart.v5.10" hidden="1">'Ejercicio M. Cent. de Gravedad'!$C$18</definedName>
    <definedName name="_xlchart.v5.11" hidden="1">'Ejercicio M. Cent. de Gravedad'!$C$19</definedName>
    <definedName name="_xlchart.v5.12" hidden="1">'Ejercicio M. Cent. de Gravedad'!$C$20:$C$25</definedName>
    <definedName name="_xlchart.v5.13" hidden="1">'Ejercicio M. Cent. de Gravedad'!$D$18</definedName>
    <definedName name="_xlchart.v5.14" hidden="1">'Ejercicio M. Cent. de Gravedad'!$D$19</definedName>
    <definedName name="_xlchart.v5.15" hidden="1">'Ejercicio M. Cent. de Gravedad'!$D$20:$D$25</definedName>
    <definedName name="_xlchart.v5.2" hidden="1">'Ejercicio M. Cent. de Gravedad'!$C$18</definedName>
    <definedName name="_xlchart.v5.3" hidden="1">'Ejercicio M. Cent. de Gravedad'!$C$19</definedName>
    <definedName name="_xlchart.v5.4" hidden="1">'Ejercicio M. Cent. de Gravedad'!$C$20:$C$25</definedName>
    <definedName name="_xlchart.v5.5" hidden="1">'Ejercicio M. Cent. de Gravedad'!$D$18</definedName>
    <definedName name="_xlchart.v5.6" hidden="1">'Ejercicio M. Cent. de Gravedad'!$D$19</definedName>
    <definedName name="_xlchart.v5.7" hidden="1">'Ejercicio M. Cent. de Gravedad'!$D$20:$D$25</definedName>
    <definedName name="_xlchart.v5.8" hidden="1">'Ejercicio M. Cent. de Gravedad'!$B$19</definedName>
    <definedName name="_xlchart.v5.9" hidden="1">'Ejercicio M. Cent. de Gravedad'!$B$20:$B$25</definedName>
    <definedName name="_xlcn.WorksheetConnection_EjercicioM.Cent.deGravedadB19D251" hidden="1">'Ejercicio M. Cent. de Gravedad'!$B$19:$D$25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Ejercicio M. Cent. de Gravedad!$B$19:$D$25"/>
        </x15:modelTables>
      </x15:dataModel>
    </ext>
  </extLst>
</workbook>
</file>

<file path=xl/calcChain.xml><?xml version="1.0" encoding="utf-8"?>
<calcChain xmlns="http://schemas.openxmlformats.org/spreadsheetml/2006/main">
  <c r="I35" i="2" l="1"/>
  <c r="G44" i="2" s="1"/>
  <c r="H35" i="2"/>
  <c r="G43" i="2" s="1"/>
  <c r="G35" i="2"/>
  <c r="G42" i="2" s="1"/>
  <c r="F35" i="2"/>
  <c r="G41" i="2" s="1"/>
  <c r="I10" i="2"/>
  <c r="I11" i="2"/>
  <c r="I12" i="2"/>
  <c r="I9" i="2"/>
  <c r="E18" i="2"/>
  <c r="E19" i="2"/>
  <c r="E20" i="2"/>
  <c r="E17" i="2"/>
  <c r="F16" i="1"/>
  <c r="G16" i="1"/>
  <c r="E14" i="1"/>
  <c r="G14" i="1"/>
  <c r="F14" i="1"/>
  <c r="G10" i="1"/>
  <c r="G11" i="1"/>
  <c r="G12" i="1"/>
  <c r="G13" i="1"/>
  <c r="G9" i="1"/>
  <c r="F10" i="1"/>
  <c r="F11" i="1"/>
  <c r="F12" i="1"/>
  <c r="F13" i="1"/>
  <c r="F9" i="1"/>
  <c r="E35" i="2"/>
  <c r="E27" i="2"/>
  <c r="K9" i="2" l="1"/>
  <c r="J11" i="2"/>
  <c r="F43" i="2" s="1"/>
  <c r="E43" i="2" s="1"/>
  <c r="D43" i="2" s="1"/>
  <c r="J9" i="2"/>
  <c r="J12" i="2"/>
  <c r="F44" i="2" s="1"/>
  <c r="E44" i="2" s="1"/>
  <c r="D44" i="2" s="1"/>
  <c r="J10" i="2"/>
  <c r="F42" i="2" s="1"/>
  <c r="E42" i="2" s="1"/>
  <c r="D42" i="2" s="1"/>
  <c r="J13" i="2" l="1"/>
  <c r="F41" i="2"/>
  <c r="E41" i="2" s="1"/>
  <c r="D4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3C744E-6869-4ED4-BB31-E085507E072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CD4FB-0756-4948-990A-E1AC8D69DDD7}" name="WorksheetConnection_Ejercicio M. Cent. de Gravedad!$B$19:$D$25" type="102" refreshedVersion="7" minRefreshableVersion="5">
    <extLst>
      <ext xmlns:x15="http://schemas.microsoft.com/office/spreadsheetml/2010/11/main" uri="{DE250136-89BD-433C-8126-D09CA5730AF9}">
        <x15:connection id="Rango">
          <x15:rangePr sourceName="_xlcn.WorksheetConnection_EjercicioM.Cent.deGravedadB19D251"/>
        </x15:connection>
      </ext>
    </extLst>
  </connection>
</connections>
</file>

<file path=xl/sharedStrings.xml><?xml version="1.0" encoding="utf-8"?>
<sst xmlns="http://schemas.openxmlformats.org/spreadsheetml/2006/main" count="102" uniqueCount="73">
  <si>
    <t>CORDENADAS</t>
  </si>
  <si>
    <t>UBICACIONES</t>
  </si>
  <si>
    <t>X</t>
  </si>
  <si>
    <t>Y</t>
  </si>
  <si>
    <t>VOLUMEN DE PRODUCTOS</t>
  </si>
  <si>
    <t>DIX * Vi</t>
  </si>
  <si>
    <t>DIY * Vi</t>
  </si>
  <si>
    <t>SUMATORIAS</t>
  </si>
  <si>
    <t>Cx</t>
  </si>
  <si>
    <t>Cy</t>
  </si>
  <si>
    <t>FACTORES CRITICOS</t>
  </si>
  <si>
    <t>FACTORES OBJETIVOS</t>
  </si>
  <si>
    <t>CUIDAD</t>
  </si>
  <si>
    <t>ENERGÍA ELÉCTRICA</t>
  </si>
  <si>
    <t>MATERIA PRIMA</t>
  </si>
  <si>
    <t>COSTO DE LOTE</t>
  </si>
  <si>
    <t>COSTO DE Mtto</t>
  </si>
  <si>
    <t>COSTO DE MATERIA PRIMA</t>
  </si>
  <si>
    <t>COSTO DE CONST.</t>
  </si>
  <si>
    <t>TOTAL</t>
  </si>
  <si>
    <t>FACTOR OBJETIVO</t>
  </si>
  <si>
    <t>A</t>
  </si>
  <si>
    <t>B</t>
  </si>
  <si>
    <t>C</t>
  </si>
  <si>
    <t>D</t>
  </si>
  <si>
    <t>VALOR BINARIO</t>
  </si>
  <si>
    <t>FACTOR BINARIO</t>
  </si>
  <si>
    <t>INFORMACIÓN</t>
  </si>
  <si>
    <t>Cuando es factor crítico sin factibilidad en la ubicación</t>
  </si>
  <si>
    <t>Cuando el factor crítico con factibilidad en la ubicación</t>
  </si>
  <si>
    <t>FACTOR SUBJETIVO</t>
  </si>
  <si>
    <t>PONDERACIÓN %</t>
  </si>
  <si>
    <t>DEFICIENTE</t>
  </si>
  <si>
    <t>BUENO</t>
  </si>
  <si>
    <t>EXCELENTE</t>
  </si>
  <si>
    <t>DISPONIBILIDAD DE MO</t>
  </si>
  <si>
    <t>SERVICIOS COMUNITARIOS</t>
  </si>
  <si>
    <t>CLIMA SOCIAL</t>
  </si>
  <si>
    <t>IMPACTO SOCIAL</t>
  </si>
  <si>
    <t>CIUDAD A</t>
  </si>
  <si>
    <t>CIUDAD B</t>
  </si>
  <si>
    <t>CIUDAD C</t>
  </si>
  <si>
    <t>CIUDAD D</t>
  </si>
  <si>
    <t>IL</t>
  </si>
  <si>
    <t>SAN PEDRO DE LA PAZ</t>
  </si>
  <si>
    <t>HUALQUI</t>
  </si>
  <si>
    <t>CHIGUAYANTE</t>
  </si>
  <si>
    <t>ARAUCO</t>
  </si>
  <si>
    <t>LARAQUETE</t>
  </si>
  <si>
    <t>Método Centro de Gravedad</t>
  </si>
  <si>
    <t>Método Gibson y Brown</t>
  </si>
  <si>
    <t>RESUELVA SEGÚN CORRESPONDA</t>
  </si>
  <si>
    <t>α=</t>
  </si>
  <si>
    <t>Ct</t>
  </si>
  <si>
    <t>FO</t>
  </si>
  <si>
    <t>FC</t>
  </si>
  <si>
    <t>((1-α)*(FSi))</t>
  </si>
  <si>
    <t>β</t>
  </si>
  <si>
    <t>λ</t>
  </si>
  <si>
    <t>(FOi*α)</t>
  </si>
  <si>
    <t>por lo tanto la ciudad B tiene la mayor factibilidad para la instalacion de la empresa</t>
  </si>
  <si>
    <t>FS</t>
  </si>
  <si>
    <t>=FCi*(β+λ)</t>
  </si>
  <si>
    <r>
      <rPr>
        <sz val="13.2"/>
        <color theme="0"/>
        <rFont val="Symbol"/>
        <family val="1"/>
        <charset val="2"/>
      </rPr>
      <t>W</t>
    </r>
    <r>
      <rPr>
        <sz val="11"/>
        <color theme="0"/>
        <rFont val="Calibri"/>
        <family val="2"/>
        <scheme val="minor"/>
      </rPr>
      <t>=((1/Cta)+(1/CTb)+(1/CTc)+(1/CTd))</t>
    </r>
  </si>
  <si>
    <r>
      <t>=1/(CT*</t>
    </r>
    <r>
      <rPr>
        <sz val="11"/>
        <color theme="0"/>
        <rFont val="Symbol"/>
        <family val="1"/>
        <charset val="2"/>
      </rPr>
      <t>W</t>
    </r>
    <r>
      <rPr>
        <sz val="11"/>
        <color theme="0"/>
        <rFont val="Calibri"/>
        <family val="2"/>
        <scheme val="minor"/>
      </rPr>
      <t>)</t>
    </r>
  </si>
  <si>
    <t>La ciudad B tiene mayor il (Indice de Localizacion)</t>
  </si>
  <si>
    <t>Jorge Vera Videla</t>
  </si>
  <si>
    <t>Las Coordenadas son</t>
  </si>
  <si>
    <t>(48,1954892435808</t>
  </si>
  <si>
    <t>5,96245662734212)</t>
  </si>
  <si>
    <t>cx</t>
  </si>
  <si>
    <t>cy</t>
  </si>
  <si>
    <t>Resultante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</si>
</sst>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5" formatCode="_ &quot;$&quot;* #,##0.0000_ ;_ &quot;$&quot;* \-#,##0.0000_ ;_ &quot;$&quot;* &quot;-&quot;????_ ;_ @_ "/>
    <numFmt numFmtId="166" formatCode="0.0000"/>
    <numFmt numFmtId="167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</font>
    <font>
      <b/>
      <sz val="11"/>
      <color theme="0"/>
      <name val="Calibri"/>
      <family val="2"/>
    </font>
    <font>
      <sz val="12"/>
      <color theme="0"/>
      <name val="Calibri"/>
      <family val="2"/>
    </font>
    <font>
      <sz val="13.2"/>
      <color theme="0"/>
      <name val="Symbol"/>
      <family val="1"/>
      <charset val="2"/>
    </font>
    <font>
      <sz val="11"/>
      <color theme="0"/>
      <name val="Symbol"/>
      <family val="1"/>
      <charset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0" borderId="11" xfId="0" applyFont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15" xfId="0" applyFont="1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42" fontId="0" fillId="6" borderId="31" xfId="0" applyNumberFormat="1" applyFill="1" applyBorder="1" applyAlignment="1">
      <alignment horizontal="center"/>
    </xf>
    <xf numFmtId="42" fontId="0" fillId="6" borderId="33" xfId="0" applyNumberFormat="1" applyFill="1" applyBorder="1" applyAlignment="1">
      <alignment horizontal="center"/>
    </xf>
    <xf numFmtId="42" fontId="0" fillId="6" borderId="34" xfId="0" applyNumberForma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1" xfId="0" applyBorder="1"/>
    <xf numFmtId="0" fontId="0" fillId="0" borderId="38" xfId="0" applyBorder="1"/>
    <xf numFmtId="0" fontId="0" fillId="0" borderId="39" xfId="0" applyBorder="1"/>
    <xf numFmtId="0" fontId="0" fillId="0" borderId="19" xfId="0" applyBorder="1"/>
    <xf numFmtId="0" fontId="1" fillId="3" borderId="29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/>
    </xf>
    <xf numFmtId="0" fontId="1" fillId="0" borderId="40" xfId="0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1" fillId="0" borderId="22" xfId="0" applyFont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9" fontId="0" fillId="0" borderId="1" xfId="0" applyNumberFormat="1" applyBorder="1" applyAlignment="1">
      <alignment horizontal="center"/>
    </xf>
    <xf numFmtId="9" fontId="0" fillId="0" borderId="40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42" xfId="0" applyBorder="1"/>
    <xf numFmtId="0" fontId="0" fillId="0" borderId="43" xfId="0" applyBorder="1"/>
    <xf numFmtId="9" fontId="0" fillId="0" borderId="42" xfId="0" applyNumberFormat="1" applyBorder="1" applyAlignment="1">
      <alignment horizontal="center"/>
    </xf>
    <xf numFmtId="9" fontId="0" fillId="0" borderId="44" xfId="0" applyNumberFormat="1" applyBorder="1" applyAlignment="1">
      <alignment horizontal="center"/>
    </xf>
    <xf numFmtId="9" fontId="0" fillId="0" borderId="43" xfId="0" applyNumberFormat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9" fontId="0" fillId="0" borderId="22" xfId="0" applyNumberFormat="1" applyBorder="1" applyAlignment="1">
      <alignment horizontal="center"/>
    </xf>
    <xf numFmtId="9" fontId="0" fillId="0" borderId="39" xfId="0" applyNumberFormat="1" applyBorder="1" applyAlignment="1">
      <alignment horizontal="center"/>
    </xf>
    <xf numFmtId="9" fontId="1" fillId="0" borderId="24" xfId="0" applyNumberFormat="1" applyFont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1" xfId="0" applyFill="1" applyBorder="1"/>
    <xf numFmtId="0" fontId="0" fillId="7" borderId="2" xfId="0" applyFill="1" applyBorder="1"/>
    <xf numFmtId="9" fontId="0" fillId="7" borderId="1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7" borderId="42" xfId="0" applyFill="1" applyBorder="1"/>
    <xf numFmtId="0" fontId="0" fillId="7" borderId="43" xfId="0" applyFill="1" applyBorder="1"/>
    <xf numFmtId="9" fontId="0" fillId="7" borderId="42" xfId="0" applyNumberFormat="1" applyFill="1" applyBorder="1" applyAlignment="1">
      <alignment horizontal="center"/>
    </xf>
    <xf numFmtId="0" fontId="0" fillId="7" borderId="21" xfId="0" applyFill="1" applyBorder="1"/>
    <xf numFmtId="0" fontId="0" fillId="7" borderId="39" xfId="0" applyFill="1" applyBorder="1"/>
    <xf numFmtId="9" fontId="0" fillId="7" borderId="21" xfId="0" applyNumberFormat="1" applyFill="1" applyBorder="1" applyAlignment="1">
      <alignment horizontal="center"/>
    </xf>
    <xf numFmtId="9" fontId="0" fillId="0" borderId="38" xfId="0" applyNumberFormat="1" applyBorder="1" applyAlignment="1">
      <alignment horizontal="center"/>
    </xf>
    <xf numFmtId="9" fontId="1" fillId="7" borderId="24" xfId="0" applyNumberFormat="1" applyFont="1" applyFill="1" applyBorder="1" applyAlignment="1">
      <alignment horizontal="center"/>
    </xf>
    <xf numFmtId="0" fontId="1" fillId="0" borderId="0" xfId="0" applyFont="1"/>
    <xf numFmtId="0" fontId="1" fillId="5" borderId="40" xfId="0" applyFont="1" applyFill="1" applyBorder="1" applyAlignment="1">
      <alignment horizontal="center" vertical="center" wrapText="1"/>
    </xf>
    <xf numFmtId="0" fontId="1" fillId="5" borderId="37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3" borderId="19" xfId="0" applyFont="1" applyFill="1" applyBorder="1" applyAlignment="1">
      <alignment horizontal="center" wrapText="1"/>
    </xf>
    <xf numFmtId="0" fontId="1" fillId="3" borderId="20" xfId="0" applyFont="1" applyFill="1" applyBorder="1" applyAlignment="1">
      <alignment horizontal="center" wrapText="1"/>
    </xf>
    <xf numFmtId="0" fontId="1" fillId="5" borderId="19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3" xfId="0" applyFon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5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8" borderId="19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10" borderId="0" xfId="0" applyFont="1" applyFill="1" applyAlignment="1">
      <alignment horizontal="center"/>
    </xf>
    <xf numFmtId="0" fontId="4" fillId="10" borderId="19" xfId="0" applyFont="1" applyFill="1" applyBorder="1" applyAlignment="1">
      <alignment horizontal="right"/>
    </xf>
    <xf numFmtId="0" fontId="2" fillId="10" borderId="23" xfId="0" applyFont="1" applyFill="1" applyBorder="1" applyAlignment="1">
      <alignment horizontal="left"/>
    </xf>
    <xf numFmtId="165" fontId="0" fillId="9" borderId="0" xfId="0" applyNumberFormat="1" applyFill="1" applyAlignment="1">
      <alignment horizontal="center"/>
    </xf>
    <xf numFmtId="0" fontId="5" fillId="10" borderId="40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2" fillId="10" borderId="21" xfId="0" quotePrefix="1" applyFont="1" applyFill="1" applyBorder="1" applyAlignment="1">
      <alignment horizontal="center"/>
    </xf>
    <xf numFmtId="0" fontId="2" fillId="10" borderId="22" xfId="0" quotePrefix="1" applyFont="1" applyFill="1" applyBorder="1" applyAlignment="1">
      <alignment horizontal="center"/>
    </xf>
    <xf numFmtId="0" fontId="2" fillId="10" borderId="39" xfId="0" quotePrefix="1" applyFont="1" applyFill="1" applyBorder="1" applyAlignment="1">
      <alignment horizontal="center"/>
    </xf>
    <xf numFmtId="0" fontId="3" fillId="10" borderId="0" xfId="0" quotePrefix="1" applyFont="1" applyFill="1"/>
    <xf numFmtId="0" fontId="3" fillId="10" borderId="0" xfId="0" applyFont="1" applyFill="1"/>
    <xf numFmtId="0" fontId="3" fillId="10" borderId="0" xfId="0" quotePrefix="1" applyFont="1" applyFill="1" applyAlignment="1">
      <alignment horizontal="center"/>
    </xf>
    <xf numFmtId="166" fontId="0" fillId="11" borderId="10" xfId="0" applyNumberFormat="1" applyFill="1" applyBorder="1"/>
    <xf numFmtId="166" fontId="0" fillId="11" borderId="24" xfId="0" applyNumberFormat="1" applyFill="1" applyBorder="1"/>
    <xf numFmtId="42" fontId="0" fillId="11" borderId="8" xfId="0" applyNumberFormat="1" applyFill="1" applyBorder="1" applyAlignment="1">
      <alignment horizontal="center"/>
    </xf>
    <xf numFmtId="0" fontId="1" fillId="11" borderId="30" xfId="0" applyFont="1" applyFill="1" applyBorder="1" applyAlignment="1">
      <alignment horizontal="center"/>
    </xf>
    <xf numFmtId="9" fontId="1" fillId="11" borderId="24" xfId="0" applyNumberFormat="1" applyFont="1" applyFill="1" applyBorder="1" applyAlignment="1">
      <alignment horizontal="center"/>
    </xf>
    <xf numFmtId="166" fontId="1" fillId="11" borderId="45" xfId="0" applyNumberFormat="1" applyFont="1" applyFill="1" applyBorder="1"/>
    <xf numFmtId="0" fontId="1" fillId="11" borderId="45" xfId="0" applyFont="1" applyFill="1" applyBorder="1"/>
    <xf numFmtId="0" fontId="0" fillId="9" borderId="42" xfId="0" applyFill="1" applyBorder="1"/>
    <xf numFmtId="0" fontId="0" fillId="9" borderId="44" xfId="0" applyFill="1" applyBorder="1"/>
    <xf numFmtId="0" fontId="0" fillId="9" borderId="43" xfId="0" applyFill="1" applyBorder="1"/>
    <xf numFmtId="0" fontId="0" fillId="9" borderId="21" xfId="0" applyFill="1" applyBorder="1"/>
    <xf numFmtId="0" fontId="0" fillId="9" borderId="22" xfId="0" applyFill="1" applyBorder="1"/>
    <xf numFmtId="0" fontId="0" fillId="9" borderId="39" xfId="0" applyFill="1" applyBorder="1"/>
    <xf numFmtId="166" fontId="1" fillId="12" borderId="45" xfId="0" applyNumberFormat="1" applyFont="1" applyFill="1" applyBorder="1"/>
    <xf numFmtId="0" fontId="9" fillId="0" borderId="0" xfId="0" applyFont="1" applyAlignment="1">
      <alignment horizontal="left"/>
    </xf>
    <xf numFmtId="0" fontId="10" fillId="0" borderId="0" xfId="0" applyFont="1"/>
    <xf numFmtId="0" fontId="9" fillId="0" borderId="0" xfId="0" applyFont="1"/>
    <xf numFmtId="0" fontId="0" fillId="11" borderId="8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166" fontId="0" fillId="0" borderId="0" xfId="0" applyNumberFormat="1"/>
    <xf numFmtId="9" fontId="1" fillId="0" borderId="0" xfId="0" applyNumberFormat="1" applyFont="1" applyFill="1" applyBorder="1" applyAlignment="1">
      <alignment horizontal="center"/>
    </xf>
    <xf numFmtId="0" fontId="3" fillId="10" borderId="25" xfId="0" applyFont="1" applyFill="1" applyBorder="1"/>
    <xf numFmtId="0" fontId="1" fillId="0" borderId="0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5" borderId="24" xfId="0" applyFont="1" applyFill="1" applyBorder="1" applyAlignment="1">
      <alignment horizontal="center" vertical="center"/>
    </xf>
    <xf numFmtId="166" fontId="9" fillId="0" borderId="0" xfId="0" applyNumberFormat="1" applyFont="1"/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167" fontId="1" fillId="0" borderId="39" xfId="0" applyNumberFormat="1" applyFont="1" applyBorder="1" applyAlignment="1">
      <alignment horizontal="center"/>
    </xf>
    <xf numFmtId="0" fontId="1" fillId="0" borderId="47" xfId="0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167" fontId="1" fillId="0" borderId="4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Ubicaciones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'Ejercicio M. Cent. de Gravedad'!$C$19</c:f>
              <c:strCache>
                <c:ptCount val="1"/>
                <c:pt idx="0">
                  <c:v>X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M. Cent. de Gravedad'!$B$20:$B$25</c:f>
              <c:strCache>
                <c:ptCount val="6"/>
                <c:pt idx="0">
                  <c:v>SAN PEDRO DE LA PAZ</c:v>
                </c:pt>
                <c:pt idx="1">
                  <c:v>HUALQUI</c:v>
                </c:pt>
                <c:pt idx="2">
                  <c:v>CHIGUAYANTE</c:v>
                </c:pt>
                <c:pt idx="3">
                  <c:v>ARAUCO</c:v>
                </c:pt>
                <c:pt idx="4">
                  <c:v>LARAQUETE</c:v>
                </c:pt>
                <c:pt idx="5">
                  <c:v>Resultante</c:v>
                </c:pt>
              </c:strCache>
            </c:strRef>
          </c:cat>
          <c:val>
            <c:numRef>
              <c:f>'Ejercicio M. Cent. de Gravedad'!$C$20:$C$25</c:f>
              <c:numCache>
                <c:formatCode>General</c:formatCode>
                <c:ptCount val="6"/>
                <c:pt idx="0">
                  <c:v>56.8</c:v>
                </c:pt>
                <c:pt idx="1">
                  <c:v>32.4</c:v>
                </c:pt>
                <c:pt idx="2">
                  <c:v>27.8</c:v>
                </c:pt>
                <c:pt idx="3">
                  <c:v>68.400000000000006</c:v>
                </c:pt>
                <c:pt idx="4">
                  <c:v>40.5</c:v>
                </c:pt>
                <c:pt idx="5" formatCode="0.0">
                  <c:v>48.195489243580845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9-4174-93BE-B9B45DEAC147}"/>
            </c:ext>
          </c:extLst>
        </c:ser>
        <c:ser>
          <c:idx val="1"/>
          <c:order val="1"/>
          <c:tx>
            <c:strRef>
              <c:f>'Ejercicio M. Cent. de Gravedad'!$D$19</c:f>
              <c:strCache>
                <c:ptCount val="1"/>
                <c:pt idx="0">
                  <c:v>Y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M. Cent. de Gravedad'!$B$20:$B$25</c:f>
              <c:strCache>
                <c:ptCount val="6"/>
                <c:pt idx="0">
                  <c:v>SAN PEDRO DE LA PAZ</c:v>
                </c:pt>
                <c:pt idx="1">
                  <c:v>HUALQUI</c:v>
                </c:pt>
                <c:pt idx="2">
                  <c:v>CHIGUAYANTE</c:v>
                </c:pt>
                <c:pt idx="3">
                  <c:v>ARAUCO</c:v>
                </c:pt>
                <c:pt idx="4">
                  <c:v>LARAQUETE</c:v>
                </c:pt>
                <c:pt idx="5">
                  <c:v>Resultante</c:v>
                </c:pt>
              </c:strCache>
            </c:strRef>
          </c:cat>
          <c:val>
            <c:numRef>
              <c:f>'Ejercicio M. Cent. de Gravedad'!$D$20:$D$25</c:f>
              <c:numCache>
                <c:formatCode>General</c:formatCode>
                <c:ptCount val="6"/>
                <c:pt idx="0">
                  <c:v>7.2</c:v>
                </c:pt>
                <c:pt idx="1">
                  <c:v>4.9000000000000004</c:v>
                </c:pt>
                <c:pt idx="2">
                  <c:v>1.9</c:v>
                </c:pt>
                <c:pt idx="3">
                  <c:v>2.7</c:v>
                </c:pt>
                <c:pt idx="4">
                  <c:v>6.9</c:v>
                </c:pt>
                <c:pt idx="5" formatCode="0.0">
                  <c:v>5.9624566273421236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9-4174-93BE-B9B45DEAC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99839"/>
        <c:axId val="397510671"/>
      </c:radarChart>
      <c:catAx>
        <c:axId val="216599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510671"/>
        <c:crosses val="autoZero"/>
        <c:auto val="1"/>
        <c:lblAlgn val="ctr"/>
        <c:lblOffset val="100"/>
        <c:noMultiLvlLbl val="0"/>
      </c:catAx>
      <c:valAx>
        <c:axId val="39751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659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17</xdr:row>
      <xdr:rowOff>158750</xdr:rowOff>
    </xdr:from>
    <xdr:to>
      <xdr:col>11</xdr:col>
      <xdr:colOff>1150620</xdr:colOff>
      <xdr:row>41</xdr:row>
      <xdr:rowOff>71120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5DA3CD-4E8A-48F6-807C-EF3019D98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732790</xdr:colOff>
      <xdr:row>35</xdr:row>
      <xdr:rowOff>133351</xdr:rowOff>
    </xdr:from>
    <xdr:to>
      <xdr:col>7</xdr:col>
      <xdr:colOff>39976</xdr:colOff>
      <xdr:row>37</xdr:row>
      <xdr:rowOff>177800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E0F8CCC-1CB8-4638-AEC2-78162AB98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7990" y="7397751"/>
          <a:ext cx="2856836" cy="412749"/>
        </a:xfrm>
        <a:prstGeom prst="rect">
          <a:avLst/>
        </a:prstGeom>
      </xdr:spPr>
    </xdr:pic>
    <xdr:clientData/>
  </xdr:twoCellAnchor>
  <xdr:twoCellAnchor editAs="oneCell">
    <xdr:from>
      <xdr:col>9</xdr:col>
      <xdr:colOff>203200</xdr:colOff>
      <xdr:row>1</xdr:row>
      <xdr:rowOff>87630</xdr:rowOff>
    </xdr:from>
    <xdr:to>
      <xdr:col>12</xdr:col>
      <xdr:colOff>95250</xdr:colOff>
      <xdr:row>5</xdr:row>
      <xdr:rowOff>97138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59C5589-9C41-4AA6-A2FA-29CEAE409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73950" y="271780"/>
          <a:ext cx="2552700" cy="7588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D3439-A62E-419A-8E7F-DEB524ABB4C4}">
  <dimension ref="B2:M25"/>
  <sheetViews>
    <sheetView tabSelected="1" topLeftCell="A13" zoomScale="120" zoomScaleNormal="120" workbookViewId="0">
      <selection activeCell="J17" sqref="J17"/>
    </sheetView>
  </sheetViews>
  <sheetFormatPr baseColWidth="10" defaultRowHeight="14.4" x14ac:dyDescent="0.3"/>
  <cols>
    <col min="2" max="2" width="21.77734375" customWidth="1"/>
    <col min="11" max="11" width="23.77734375" customWidth="1"/>
    <col min="12" max="12" width="22.5546875" customWidth="1"/>
  </cols>
  <sheetData>
    <row r="2" spans="2:13" ht="15" thickBot="1" x14ac:dyDescent="0.35"/>
    <row r="3" spans="2:13" ht="15" thickBot="1" x14ac:dyDescent="0.35">
      <c r="C3" s="85" t="s">
        <v>49</v>
      </c>
      <c r="D3" s="86"/>
      <c r="E3" s="86"/>
      <c r="F3" s="87"/>
    </row>
    <row r="6" spans="2:13" ht="15" thickBot="1" x14ac:dyDescent="0.35"/>
    <row r="7" spans="2:13" ht="15" thickBot="1" x14ac:dyDescent="0.35">
      <c r="C7" s="81" t="s">
        <v>0</v>
      </c>
      <c r="D7" s="82"/>
    </row>
    <row r="8" spans="2:13" ht="43.8" thickBot="1" x14ac:dyDescent="0.35">
      <c r="B8" s="1" t="s">
        <v>1</v>
      </c>
      <c r="C8" s="2" t="s">
        <v>2</v>
      </c>
      <c r="D8" s="2" t="s">
        <v>3</v>
      </c>
      <c r="E8" s="3" t="s">
        <v>4</v>
      </c>
      <c r="F8" s="3" t="s">
        <v>5</v>
      </c>
      <c r="G8" s="4" t="s">
        <v>6</v>
      </c>
    </row>
    <row r="9" spans="2:13" ht="15" thickBot="1" x14ac:dyDescent="0.35">
      <c r="B9" s="5" t="s">
        <v>44</v>
      </c>
      <c r="C9" s="6">
        <v>56.8</v>
      </c>
      <c r="D9" s="7">
        <v>7.2</v>
      </c>
      <c r="E9" s="8">
        <v>8300</v>
      </c>
      <c r="F9" s="133">
        <f>C9*E9</f>
        <v>471440</v>
      </c>
      <c r="G9" s="134">
        <f>D9*E9</f>
        <v>59760</v>
      </c>
    </row>
    <row r="10" spans="2:13" ht="15" thickBot="1" x14ac:dyDescent="0.35">
      <c r="B10" s="9" t="s">
        <v>45</v>
      </c>
      <c r="C10" s="10">
        <v>32.4</v>
      </c>
      <c r="D10" s="11">
        <v>4.9000000000000004</v>
      </c>
      <c r="E10" s="12">
        <v>4200</v>
      </c>
      <c r="F10" s="133">
        <f t="shared" ref="F10:F13" si="0">C10*E10</f>
        <v>136080</v>
      </c>
      <c r="G10" s="134">
        <f t="shared" ref="G10:G13" si="1">D10*E10</f>
        <v>20580</v>
      </c>
      <c r="K10" s="103" t="s">
        <v>70</v>
      </c>
      <c r="L10" s="103" t="s">
        <v>71</v>
      </c>
    </row>
    <row r="11" spans="2:13" ht="18.600000000000001" thickBot="1" x14ac:dyDescent="0.4">
      <c r="B11" s="9" t="s">
        <v>46</v>
      </c>
      <c r="C11" s="10">
        <v>27.8</v>
      </c>
      <c r="D11" s="11">
        <v>1.9</v>
      </c>
      <c r="E11" s="12">
        <v>890</v>
      </c>
      <c r="F11" s="133">
        <f t="shared" si="0"/>
        <v>24742</v>
      </c>
      <c r="G11" s="134">
        <f t="shared" si="1"/>
        <v>1691</v>
      </c>
      <c r="I11" s="132" t="s">
        <v>67</v>
      </c>
      <c r="J11" s="132"/>
      <c r="K11" s="144" t="s">
        <v>68</v>
      </c>
      <c r="L11" s="144" t="s">
        <v>69</v>
      </c>
      <c r="M11" s="144"/>
    </row>
    <row r="12" spans="2:13" ht="15" thickBot="1" x14ac:dyDescent="0.35">
      <c r="B12" s="9" t="s">
        <v>47</v>
      </c>
      <c r="C12" s="10">
        <v>68.400000000000006</v>
      </c>
      <c r="D12" s="11">
        <v>2.7</v>
      </c>
      <c r="E12" s="12">
        <v>750</v>
      </c>
      <c r="F12" s="133">
        <f t="shared" si="0"/>
        <v>51300.000000000007</v>
      </c>
      <c r="G12" s="134">
        <f t="shared" si="1"/>
        <v>2025.0000000000002</v>
      </c>
    </row>
    <row r="13" spans="2:13" ht="15" thickBot="1" x14ac:dyDescent="0.35">
      <c r="B13" s="13" t="s">
        <v>48</v>
      </c>
      <c r="C13" s="14">
        <v>40.5</v>
      </c>
      <c r="D13" s="15">
        <v>6.9</v>
      </c>
      <c r="E13" s="16">
        <v>270</v>
      </c>
      <c r="F13" s="133">
        <f t="shared" si="0"/>
        <v>10935</v>
      </c>
      <c r="G13" s="134">
        <f t="shared" si="1"/>
        <v>1863</v>
      </c>
    </row>
    <row r="14" spans="2:13" ht="15" thickBot="1" x14ac:dyDescent="0.35">
      <c r="B14" s="83" t="s">
        <v>7</v>
      </c>
      <c r="C14" s="84"/>
      <c r="D14" s="84"/>
      <c r="E14" s="135">
        <f>SUM(E9:E13)</f>
        <v>14410</v>
      </c>
      <c r="F14" s="136">
        <f>SUM(F9:F13)</f>
        <v>694497</v>
      </c>
      <c r="G14" s="136">
        <f>SUM(G9:G13)</f>
        <v>85919</v>
      </c>
    </row>
    <row r="15" spans="2:13" ht="15" thickBot="1" x14ac:dyDescent="0.35">
      <c r="F15" s="17" t="s">
        <v>8</v>
      </c>
      <c r="G15" s="18" t="s">
        <v>9</v>
      </c>
    </row>
    <row r="16" spans="2:13" ht="15" thickBot="1" x14ac:dyDescent="0.35">
      <c r="F16" s="137">
        <f>F14/E14</f>
        <v>48.195489243580845</v>
      </c>
      <c r="G16" s="137">
        <f>G14/E14</f>
        <v>5.9624566273421236</v>
      </c>
    </row>
    <row r="17" spans="2:7" x14ac:dyDescent="0.3">
      <c r="F17" s="138"/>
      <c r="G17" s="138"/>
    </row>
    <row r="18" spans="2:7" ht="15" thickBot="1" x14ac:dyDescent="0.35"/>
    <row r="19" spans="2:7" x14ac:dyDescent="0.3">
      <c r="B19" s="151" t="s">
        <v>1</v>
      </c>
      <c r="C19" s="152" t="s">
        <v>2</v>
      </c>
      <c r="D19" s="153" t="s">
        <v>3</v>
      </c>
    </row>
    <row r="20" spans="2:7" x14ac:dyDescent="0.3">
      <c r="B20" s="145" t="s">
        <v>44</v>
      </c>
      <c r="C20" s="154">
        <v>56.8</v>
      </c>
      <c r="D20" s="147">
        <v>7.2</v>
      </c>
    </row>
    <row r="21" spans="2:7" x14ac:dyDescent="0.3">
      <c r="B21" s="145" t="s">
        <v>45</v>
      </c>
      <c r="C21" s="154">
        <v>32.4</v>
      </c>
      <c r="D21" s="147">
        <v>4.9000000000000004</v>
      </c>
    </row>
    <row r="22" spans="2:7" x14ac:dyDescent="0.3">
      <c r="B22" s="145" t="s">
        <v>46</v>
      </c>
      <c r="C22" s="154">
        <v>27.8</v>
      </c>
      <c r="D22" s="147">
        <v>1.9</v>
      </c>
    </row>
    <row r="23" spans="2:7" x14ac:dyDescent="0.3">
      <c r="B23" s="146" t="s">
        <v>47</v>
      </c>
      <c r="C23" s="155">
        <v>68.400000000000006</v>
      </c>
      <c r="D23" s="148">
        <v>2.7</v>
      </c>
    </row>
    <row r="24" spans="2:7" x14ac:dyDescent="0.3">
      <c r="B24" s="145" t="s">
        <v>48</v>
      </c>
      <c r="C24" s="154">
        <v>40.5</v>
      </c>
      <c r="D24" s="147">
        <v>6.9</v>
      </c>
    </row>
    <row r="25" spans="2:7" ht="15" thickBot="1" x14ac:dyDescent="0.35">
      <c r="B25" s="149" t="s">
        <v>72</v>
      </c>
      <c r="C25" s="156">
        <v>48.195489243580845</v>
      </c>
      <c r="D25" s="150">
        <v>5.9624566273421236</v>
      </c>
    </row>
  </sheetData>
  <mergeCells count="3">
    <mergeCell ref="C7:D7"/>
    <mergeCell ref="B14:D14"/>
    <mergeCell ref="C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C11CC-0F8E-40D3-9C43-FE2F7B5F347D}">
  <dimension ref="B2:O44"/>
  <sheetViews>
    <sheetView zoomScale="120" zoomScaleNormal="120" workbookViewId="0">
      <selection activeCell="N4" sqref="N4"/>
    </sheetView>
  </sheetViews>
  <sheetFormatPr baseColWidth="10" defaultRowHeight="14.4" x14ac:dyDescent="0.3"/>
  <cols>
    <col min="2" max="2" width="9.44140625" customWidth="1"/>
    <col min="5" max="5" width="17" customWidth="1"/>
    <col min="9" max="9" width="10.109375" customWidth="1"/>
    <col min="11" max="11" width="15.6640625" customWidth="1"/>
  </cols>
  <sheetData>
    <row r="2" spans="2:14" ht="15" thickBot="1" x14ac:dyDescent="0.35"/>
    <row r="3" spans="2:14" ht="15" thickBot="1" x14ac:dyDescent="0.35">
      <c r="C3" s="90" t="s">
        <v>50</v>
      </c>
      <c r="D3" s="91"/>
      <c r="E3" s="92"/>
    </row>
    <row r="4" spans="2:14" x14ac:dyDescent="0.3">
      <c r="N4" t="s">
        <v>66</v>
      </c>
    </row>
    <row r="5" spans="2:14" x14ac:dyDescent="0.3">
      <c r="C5" s="78" t="s">
        <v>51</v>
      </c>
    </row>
    <row r="6" spans="2:14" ht="15" thickBot="1" x14ac:dyDescent="0.35"/>
    <row r="7" spans="2:14" ht="15" thickBot="1" x14ac:dyDescent="0.35">
      <c r="C7" s="93" t="s">
        <v>10</v>
      </c>
      <c r="D7" s="94"/>
      <c r="E7" s="95" t="s">
        <v>11</v>
      </c>
      <c r="F7" s="96"/>
      <c r="G7" s="97"/>
      <c r="I7" s="104" t="s">
        <v>53</v>
      </c>
      <c r="J7" s="104" t="s">
        <v>54</v>
      </c>
      <c r="K7" s="115" t="s">
        <v>64</v>
      </c>
    </row>
    <row r="8" spans="2:14" ht="43.8" thickBot="1" x14ac:dyDescent="0.35">
      <c r="B8" s="19" t="s">
        <v>12</v>
      </c>
      <c r="C8" s="20" t="s">
        <v>13</v>
      </c>
      <c r="D8" s="21" t="s">
        <v>14</v>
      </c>
      <c r="E8" s="22" t="s">
        <v>15</v>
      </c>
      <c r="F8" s="23" t="s">
        <v>16</v>
      </c>
      <c r="G8" s="23" t="s">
        <v>17</v>
      </c>
      <c r="H8" s="24" t="s">
        <v>18</v>
      </c>
      <c r="I8" s="79" t="s">
        <v>19</v>
      </c>
      <c r="J8" s="80" t="s">
        <v>20</v>
      </c>
    </row>
    <row r="9" spans="2:14" ht="17.399999999999999" thickBot="1" x14ac:dyDescent="0.35">
      <c r="B9" s="25" t="s">
        <v>21</v>
      </c>
      <c r="C9" s="26">
        <v>1</v>
      </c>
      <c r="D9" s="27">
        <v>1</v>
      </c>
      <c r="E9" s="28">
        <v>412</v>
      </c>
      <c r="F9" s="29">
        <v>90</v>
      </c>
      <c r="G9" s="29">
        <v>78</v>
      </c>
      <c r="H9" s="30">
        <v>901</v>
      </c>
      <c r="I9" s="118">
        <f>SUM(C9:H9)</f>
        <v>1483</v>
      </c>
      <c r="J9" s="116">
        <f>1/($I9*$K$9)</f>
        <v>0.19609870387167994</v>
      </c>
      <c r="K9" s="107">
        <f>((1/$I$9)+(1/$I$10)+(1/$I$11)+(1/$I$12))</f>
        <v>3.438619532574586E-3</v>
      </c>
      <c r="L9" s="113" t="s">
        <v>63</v>
      </c>
      <c r="M9" s="114"/>
      <c r="N9" s="114"/>
    </row>
    <row r="10" spans="2:14" ht="15" thickBot="1" x14ac:dyDescent="0.35">
      <c r="B10" s="25" t="s">
        <v>22</v>
      </c>
      <c r="C10" s="26">
        <v>1</v>
      </c>
      <c r="D10" s="27">
        <v>1</v>
      </c>
      <c r="E10" s="28">
        <v>192</v>
      </c>
      <c r="F10" s="29">
        <v>58</v>
      </c>
      <c r="G10" s="29">
        <v>92</v>
      </c>
      <c r="H10" s="30">
        <v>465</v>
      </c>
      <c r="I10" s="118">
        <f t="shared" ref="I10:I12" si="0">SUM(C10:H10)</f>
        <v>809</v>
      </c>
      <c r="J10" s="116">
        <f t="shared" ref="J10:J12" si="1">1/($I10*$K$9)</f>
        <v>0.35947389102806093</v>
      </c>
    </row>
    <row r="11" spans="2:14" ht="15" thickBot="1" x14ac:dyDescent="0.35">
      <c r="B11" s="25" t="s">
        <v>23</v>
      </c>
      <c r="C11" s="26">
        <v>1</v>
      </c>
      <c r="D11" s="27">
        <v>1</v>
      </c>
      <c r="E11" s="28">
        <v>425</v>
      </c>
      <c r="F11" s="29">
        <v>52</v>
      </c>
      <c r="G11" s="29">
        <v>81</v>
      </c>
      <c r="H11" s="30">
        <v>589</v>
      </c>
      <c r="I11" s="118">
        <f t="shared" si="0"/>
        <v>1149</v>
      </c>
      <c r="J11" s="116">
        <f t="shared" si="1"/>
        <v>0.25310215652019263</v>
      </c>
    </row>
    <row r="12" spans="2:14" ht="15" thickBot="1" x14ac:dyDescent="0.35">
      <c r="B12" s="31" t="s">
        <v>24</v>
      </c>
      <c r="C12" s="32">
        <v>1</v>
      </c>
      <c r="D12" s="33">
        <v>0</v>
      </c>
      <c r="E12" s="28">
        <v>603</v>
      </c>
      <c r="F12" s="29">
        <v>63</v>
      </c>
      <c r="G12" s="29">
        <v>72</v>
      </c>
      <c r="H12" s="30">
        <v>781</v>
      </c>
      <c r="I12" s="118">
        <f t="shared" si="0"/>
        <v>1520</v>
      </c>
      <c r="J12" s="116">
        <f t="shared" si="1"/>
        <v>0.19132524858006666</v>
      </c>
    </row>
    <row r="13" spans="2:14" ht="15" thickBot="1" x14ac:dyDescent="0.35">
      <c r="E13" s="34"/>
      <c r="F13" s="35"/>
      <c r="G13" s="35"/>
      <c r="H13" s="36"/>
      <c r="I13" s="37"/>
      <c r="J13" s="117">
        <f>SUM(J9:J12)</f>
        <v>1.0000000000000002</v>
      </c>
    </row>
    <row r="14" spans="2:14" ht="15" thickBot="1" x14ac:dyDescent="0.35"/>
    <row r="15" spans="2:14" ht="15" thickBot="1" x14ac:dyDescent="0.35">
      <c r="C15" s="93" t="s">
        <v>10</v>
      </c>
      <c r="D15" s="94"/>
      <c r="E15" s="104" t="s">
        <v>55</v>
      </c>
    </row>
    <row r="16" spans="2:14" ht="29.4" thickBot="1" x14ac:dyDescent="0.35">
      <c r="B16" s="19" t="s">
        <v>12</v>
      </c>
      <c r="C16" s="20" t="s">
        <v>13</v>
      </c>
      <c r="D16" s="38" t="s">
        <v>14</v>
      </c>
      <c r="E16" s="39" t="s">
        <v>25</v>
      </c>
      <c r="G16" s="40" t="s">
        <v>26</v>
      </c>
      <c r="H16" s="98" t="s">
        <v>27</v>
      </c>
      <c r="I16" s="99"/>
      <c r="J16" s="99"/>
      <c r="K16" s="99"/>
      <c r="L16" s="100"/>
    </row>
    <row r="17" spans="2:12" ht="15" thickBot="1" x14ac:dyDescent="0.35">
      <c r="B17" s="25" t="s">
        <v>21</v>
      </c>
      <c r="C17" s="26">
        <v>1</v>
      </c>
      <c r="D17" s="41">
        <v>1</v>
      </c>
      <c r="E17" s="119">
        <f>C17*D17</f>
        <v>1</v>
      </c>
      <c r="G17" s="42">
        <v>0</v>
      </c>
      <c r="H17" s="43" t="s">
        <v>28</v>
      </c>
      <c r="I17" s="35"/>
      <c r="J17" s="35"/>
      <c r="K17" s="35"/>
      <c r="L17" s="36"/>
    </row>
    <row r="18" spans="2:12" ht="15" thickBot="1" x14ac:dyDescent="0.35">
      <c r="B18" s="25" t="s">
        <v>22</v>
      </c>
      <c r="C18" s="26">
        <v>1</v>
      </c>
      <c r="D18" s="41">
        <v>1</v>
      </c>
      <c r="E18" s="119">
        <f t="shared" ref="E18:E20" si="2">C18*D18</f>
        <v>1</v>
      </c>
      <c r="G18" s="44">
        <v>1</v>
      </c>
      <c r="H18" s="43" t="s">
        <v>29</v>
      </c>
      <c r="I18" s="35"/>
      <c r="J18" s="35"/>
      <c r="K18" s="35"/>
      <c r="L18" s="36"/>
    </row>
    <row r="19" spans="2:12" x14ac:dyDescent="0.3">
      <c r="B19" s="45" t="s">
        <v>23</v>
      </c>
      <c r="C19" s="46">
        <v>1</v>
      </c>
      <c r="D19" s="47">
        <v>1</v>
      </c>
      <c r="E19" s="119">
        <f t="shared" si="2"/>
        <v>1</v>
      </c>
      <c r="G19" s="48"/>
      <c r="H19" s="48"/>
    </row>
    <row r="20" spans="2:12" ht="15" thickBot="1" x14ac:dyDescent="0.35">
      <c r="B20" s="31" t="s">
        <v>24</v>
      </c>
      <c r="C20" s="32">
        <v>1</v>
      </c>
      <c r="D20" s="49">
        <v>0</v>
      </c>
      <c r="E20" s="119">
        <f t="shared" si="2"/>
        <v>0</v>
      </c>
      <c r="G20" s="48"/>
      <c r="H20" s="48"/>
    </row>
    <row r="21" spans="2:12" ht="15" thickBot="1" x14ac:dyDescent="0.35"/>
    <row r="22" spans="2:12" ht="21.6" thickBot="1" x14ac:dyDescent="0.45">
      <c r="C22" s="101" t="s">
        <v>30</v>
      </c>
      <c r="D22" s="102"/>
      <c r="E22" s="17" t="s">
        <v>31</v>
      </c>
      <c r="F22" s="42" t="s">
        <v>32</v>
      </c>
      <c r="G22" s="42" t="s">
        <v>33</v>
      </c>
      <c r="H22" s="18" t="s">
        <v>34</v>
      </c>
      <c r="J22" s="105" t="s">
        <v>52</v>
      </c>
      <c r="K22" s="106">
        <v>0.8</v>
      </c>
    </row>
    <row r="23" spans="2:12" x14ac:dyDescent="0.3">
      <c r="C23" s="50" t="s">
        <v>35</v>
      </c>
      <c r="D23" s="51"/>
      <c r="E23" s="52">
        <v>0.3</v>
      </c>
      <c r="F23" s="53">
        <v>0</v>
      </c>
      <c r="G23" s="53">
        <v>0.15</v>
      </c>
      <c r="H23" s="54">
        <v>0.3</v>
      </c>
    </row>
    <row r="24" spans="2:12" x14ac:dyDescent="0.3">
      <c r="C24" s="55" t="s">
        <v>36</v>
      </c>
      <c r="D24" s="56"/>
      <c r="E24" s="57">
        <v>0.35</v>
      </c>
      <c r="F24" s="58">
        <v>0</v>
      </c>
      <c r="G24" s="58">
        <v>0.18</v>
      </c>
      <c r="H24" s="59">
        <v>0.35</v>
      </c>
    </row>
    <row r="25" spans="2:12" x14ac:dyDescent="0.3">
      <c r="C25" s="55" t="s">
        <v>37</v>
      </c>
      <c r="D25" s="56"/>
      <c r="E25" s="57">
        <v>0.2</v>
      </c>
      <c r="F25" s="58">
        <v>0</v>
      </c>
      <c r="G25" s="58">
        <v>0.1</v>
      </c>
      <c r="H25" s="59">
        <v>0.2</v>
      </c>
    </row>
    <row r="26" spans="2:12" ht="15" thickBot="1" x14ac:dyDescent="0.35">
      <c r="C26" s="34" t="s">
        <v>38</v>
      </c>
      <c r="D26" s="36"/>
      <c r="E26" s="60">
        <v>0.15</v>
      </c>
      <c r="F26" s="61">
        <v>0</v>
      </c>
      <c r="G26" s="61">
        <v>0.08</v>
      </c>
      <c r="H26" s="62">
        <v>0.15</v>
      </c>
    </row>
    <row r="27" spans="2:12" ht="15" thickBot="1" x14ac:dyDescent="0.35">
      <c r="C27" s="90" t="s">
        <v>19</v>
      </c>
      <c r="D27" s="92"/>
      <c r="E27" s="63">
        <f>SUM(E23:E26)</f>
        <v>0.99999999999999989</v>
      </c>
    </row>
    <row r="29" spans="2:12" ht="15" thickBot="1" x14ac:dyDescent="0.35"/>
    <row r="30" spans="2:12" ht="15" thickBot="1" x14ac:dyDescent="0.35">
      <c r="C30" s="88" t="s">
        <v>30</v>
      </c>
      <c r="D30" s="89"/>
      <c r="E30" s="64" t="s">
        <v>31</v>
      </c>
      <c r="F30" s="17" t="s">
        <v>39</v>
      </c>
      <c r="G30" s="42" t="s">
        <v>40</v>
      </c>
      <c r="H30" s="65" t="s">
        <v>41</v>
      </c>
      <c r="I30" s="42" t="s">
        <v>42</v>
      </c>
    </row>
    <row r="31" spans="2:12" x14ac:dyDescent="0.3">
      <c r="C31" s="66" t="s">
        <v>35</v>
      </c>
      <c r="D31" s="67"/>
      <c r="E31" s="68">
        <v>0.3</v>
      </c>
      <c r="F31" s="57">
        <v>0.28000000000000003</v>
      </c>
      <c r="G31" s="58">
        <v>0.23</v>
      </c>
      <c r="H31" s="69">
        <v>0.25</v>
      </c>
      <c r="I31" s="53">
        <v>0.15</v>
      </c>
    </row>
    <row r="32" spans="2:12" x14ac:dyDescent="0.3">
      <c r="C32" s="70" t="s">
        <v>36</v>
      </c>
      <c r="D32" s="71"/>
      <c r="E32" s="72">
        <v>0.35</v>
      </c>
      <c r="F32" s="57">
        <v>0.23</v>
      </c>
      <c r="G32" s="58">
        <v>0.18</v>
      </c>
      <c r="H32" s="57">
        <v>0.17</v>
      </c>
      <c r="I32" s="58">
        <v>0.14000000000000001</v>
      </c>
    </row>
    <row r="33" spans="2:15" x14ac:dyDescent="0.3">
      <c r="C33" s="70" t="s">
        <v>37</v>
      </c>
      <c r="D33" s="71"/>
      <c r="E33" s="72">
        <v>0.2</v>
      </c>
      <c r="F33" s="57">
        <v>0.12</v>
      </c>
      <c r="G33" s="58">
        <v>0.22</v>
      </c>
      <c r="H33" s="69">
        <v>0.12</v>
      </c>
      <c r="I33" s="58">
        <v>0.08</v>
      </c>
    </row>
    <row r="34" spans="2:15" ht="15" thickBot="1" x14ac:dyDescent="0.35">
      <c r="C34" s="73" t="s">
        <v>38</v>
      </c>
      <c r="D34" s="74"/>
      <c r="E34" s="75">
        <v>0.15</v>
      </c>
      <c r="F34" s="60">
        <v>0.03</v>
      </c>
      <c r="G34" s="61">
        <v>7.0000000000000007E-2</v>
      </c>
      <c r="H34" s="76">
        <v>7.0000000000000007E-2</v>
      </c>
      <c r="I34" s="61">
        <v>0.12</v>
      </c>
    </row>
    <row r="35" spans="2:15" ht="15" thickBot="1" x14ac:dyDescent="0.35">
      <c r="B35" s="104" t="s">
        <v>61</v>
      </c>
      <c r="C35" s="88" t="s">
        <v>19</v>
      </c>
      <c r="D35" s="89"/>
      <c r="E35" s="77">
        <f>SUM(E31:E34)</f>
        <v>0.99999999999999989</v>
      </c>
      <c r="F35" s="120">
        <f>SUM(F31:F34)</f>
        <v>0.66</v>
      </c>
      <c r="G35" s="120">
        <f>SUM(G31:G34)</f>
        <v>0.7</v>
      </c>
      <c r="H35" s="120">
        <f>SUM(H31:H34)</f>
        <v>0.6100000000000001</v>
      </c>
      <c r="I35" s="120">
        <f>SUM(I31:I34)</f>
        <v>0.49000000000000005</v>
      </c>
      <c r="J35" s="139"/>
    </row>
    <row r="38" spans="2:15" ht="18.600000000000001" thickBot="1" x14ac:dyDescent="0.4">
      <c r="K38" s="131"/>
      <c r="L38" s="131"/>
      <c r="M38" s="131"/>
      <c r="N38" s="131"/>
      <c r="O38" s="131"/>
    </row>
    <row r="39" spans="2:15" ht="18.600000000000001" thickBot="1" x14ac:dyDescent="0.4">
      <c r="D39" s="141"/>
      <c r="E39" s="140"/>
      <c r="F39" s="108" t="s">
        <v>57</v>
      </c>
      <c r="G39" s="109" t="s">
        <v>58</v>
      </c>
      <c r="K39" s="131"/>
      <c r="L39" s="131"/>
      <c r="M39" s="131"/>
      <c r="N39" s="131"/>
      <c r="O39" s="131"/>
    </row>
    <row r="40" spans="2:15" ht="15" thickBot="1" x14ac:dyDescent="0.35">
      <c r="C40" s="143" t="s">
        <v>12</v>
      </c>
      <c r="D40" s="42" t="s">
        <v>43</v>
      </c>
      <c r="E40" s="110" t="s">
        <v>62</v>
      </c>
      <c r="F40" s="111" t="s">
        <v>59</v>
      </c>
      <c r="G40" s="112" t="s">
        <v>56</v>
      </c>
    </row>
    <row r="41" spans="2:15" ht="18" x14ac:dyDescent="0.35">
      <c r="C41" s="142" t="s">
        <v>21</v>
      </c>
      <c r="D41" s="121">
        <f>E41</f>
        <v>0.28887896309734395</v>
      </c>
      <c r="E41" s="123">
        <f>E17*(F41+G41)</f>
        <v>0.28887896309734395</v>
      </c>
      <c r="F41" s="124">
        <f>($J9*$K$22)</f>
        <v>0.15687896309734395</v>
      </c>
      <c r="G41" s="125">
        <f>(1-$K$22)*(F$35)</f>
        <v>0.13199999999999998</v>
      </c>
      <c r="I41" s="130" t="s">
        <v>65</v>
      </c>
    </row>
    <row r="42" spans="2:15" ht="18" x14ac:dyDescent="0.35">
      <c r="C42" s="25" t="s">
        <v>22</v>
      </c>
      <c r="D42" s="129">
        <f t="shared" ref="D42:D44" si="3">E42</f>
        <v>0.4275791128224487</v>
      </c>
      <c r="E42" s="123">
        <f>E18*(F42+G42)</f>
        <v>0.4275791128224487</v>
      </c>
      <c r="F42" s="124">
        <f>($J10*$K$22)</f>
        <v>0.28757911282244875</v>
      </c>
      <c r="G42" s="125">
        <f>((1-$K$22)*(G$35))</f>
        <v>0.13999999999999996</v>
      </c>
      <c r="I42" s="132" t="s">
        <v>60</v>
      </c>
    </row>
    <row r="43" spans="2:15" x14ac:dyDescent="0.3">
      <c r="C43" s="45" t="s">
        <v>23</v>
      </c>
      <c r="D43" s="121">
        <f t="shared" si="3"/>
        <v>0.32448172521615415</v>
      </c>
      <c r="E43" s="123">
        <f>E19*(F43+G43)</f>
        <v>0.32448172521615415</v>
      </c>
      <c r="F43" s="124">
        <f>($J11*$K$22)</f>
        <v>0.20248172521615412</v>
      </c>
      <c r="G43" s="125">
        <f>((1-$K$22)*(H$35))</f>
        <v>0.122</v>
      </c>
    </row>
    <row r="44" spans="2:15" ht="15" thickBot="1" x14ac:dyDescent="0.35">
      <c r="C44" s="31" t="s">
        <v>24</v>
      </c>
      <c r="D44" s="122">
        <f t="shared" si="3"/>
        <v>0</v>
      </c>
      <c r="E44" s="126">
        <f>E20*(F44+G44)</f>
        <v>0</v>
      </c>
      <c r="F44" s="127">
        <f>($J12*$K$22)</f>
        <v>0.15306019886405334</v>
      </c>
      <c r="G44" s="128">
        <f>((1-$K$22)*(I$35))</f>
        <v>9.799999999999999E-2</v>
      </c>
    </row>
  </sheetData>
  <mergeCells count="9">
    <mergeCell ref="H16:L16"/>
    <mergeCell ref="C22:D22"/>
    <mergeCell ref="C27:D27"/>
    <mergeCell ref="C30:D30"/>
    <mergeCell ref="C35:D35"/>
    <mergeCell ref="C3:E3"/>
    <mergeCell ref="C7:D7"/>
    <mergeCell ref="E7:G7"/>
    <mergeCell ref="C15:D15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06F03294-086D-4099-AA35-E937584AA4BC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C431E4A-5347-4693-93B0-84BED9B86E0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 M. Cent. de Gravedad</vt:lpstr>
      <vt:lpstr>Ejercicio M. Gibson y Brown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2023-12-04T21:40:39Z</dcterms:created>
  <dcterms:modified xsi:type="dcterms:W3CDTF">2023-12-04T23:30:03Z</dcterms:modified>
</cp:coreProperties>
</file>