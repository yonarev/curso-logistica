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DOCS 2023\CursoAdminLog\"/>
    </mc:Choice>
  </mc:AlternateContent>
  <xr:revisionPtr revIDLastSave="0" documentId="13_ncr:1_{9634D9AD-ECD4-4D80-A023-EB0CE51F7207}" xr6:coauthVersionLast="47" xr6:coauthVersionMax="47" xr10:uidLastSave="{00000000-0000-0000-0000-000000000000}"/>
  <bookViews>
    <workbookView xWindow="-108" yWindow="-108" windowWidth="30936" windowHeight="17496" xr2:uid="{DEF0CAAD-E93D-4AAF-AAF1-D4F8AA711210}"/>
  </bookViews>
  <sheets>
    <sheet name="MATRIZ" sheetId="1" r:id="rId1"/>
    <sheet name="VENTAS TOTALES" sheetId="2" r:id="rId2"/>
    <sheet name="TABLA DE CALCULO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3" l="1"/>
  <c r="N11" i="3"/>
  <c r="N10" i="3"/>
  <c r="N16" i="3"/>
  <c r="P25" i="3"/>
  <c r="F5" i="2"/>
  <c r="G5" i="2"/>
  <c r="H5" i="2"/>
  <c r="I5" i="2" s="1"/>
  <c r="J5" i="2" s="1"/>
  <c r="K5" i="2" s="1"/>
  <c r="L5" i="2" s="1"/>
  <c r="M5" i="2" s="1"/>
  <c r="N5" i="2" s="1"/>
  <c r="O5" i="2" s="1"/>
  <c r="E5" i="2"/>
  <c r="E19" i="2"/>
  <c r="E17" i="2"/>
  <c r="E18" i="2"/>
  <c r="E16" i="2"/>
  <c r="N9" i="2"/>
  <c r="N12" i="2" s="1"/>
  <c r="O11" i="2"/>
  <c r="O12" i="2"/>
  <c r="F12" i="2"/>
  <c r="G12" i="2"/>
  <c r="H12" i="2"/>
  <c r="I12" i="2"/>
  <c r="J12" i="2"/>
  <c r="K12" i="2"/>
  <c r="L12" i="2"/>
  <c r="M12" i="2"/>
  <c r="N11" i="2"/>
  <c r="M11" i="2"/>
  <c r="M10" i="2"/>
  <c r="L11" i="2"/>
  <c r="L10" i="2"/>
  <c r="K9" i="2"/>
  <c r="K11" i="2"/>
  <c r="K10" i="2"/>
  <c r="J11" i="2"/>
  <c r="J10" i="2"/>
  <c r="J9" i="2"/>
  <c r="I11" i="2"/>
  <c r="I10" i="2"/>
  <c r="H11" i="2"/>
  <c r="H10" i="2"/>
  <c r="H9" i="2"/>
  <c r="G11" i="2"/>
  <c r="G10" i="2"/>
  <c r="F9" i="2"/>
  <c r="F10" i="2"/>
  <c r="E12" i="2"/>
  <c r="E11" i="2"/>
  <c r="D12" i="2"/>
  <c r="D11" i="2"/>
  <c r="D10" i="2"/>
  <c r="D9" i="2"/>
  <c r="P11" i="2"/>
  <c r="P10" i="2"/>
  <c r="P9" i="2"/>
  <c r="P8" i="2"/>
  <c r="U14" i="1"/>
  <c r="U13" i="1"/>
  <c r="J30" i="1"/>
  <c r="U12" i="1"/>
  <c r="U11" i="1"/>
  <c r="P12" i="2" l="1"/>
</calcChain>
</file>

<file path=xl/sharedStrings.xml><?xml version="1.0" encoding="utf-8"?>
<sst xmlns="http://schemas.openxmlformats.org/spreadsheetml/2006/main" count="112" uniqueCount="66">
  <si>
    <t>DIC</t>
  </si>
  <si>
    <t>ENERO</t>
  </si>
  <si>
    <t>FEBRERO</t>
  </si>
  <si>
    <t>MARZO</t>
  </si>
  <si>
    <t>ABRIL</t>
  </si>
  <si>
    <t>MAYO</t>
  </si>
  <si>
    <t>JUNIO</t>
  </si>
  <si>
    <t>JULIO</t>
  </si>
  <si>
    <t>SEPT.</t>
  </si>
  <si>
    <t>OCT</t>
  </si>
  <si>
    <t>NOV</t>
  </si>
  <si>
    <t>AGOST</t>
  </si>
  <si>
    <t>2.Identifique que mes tuvo la menor venta</t>
  </si>
  <si>
    <t>3. Nombre los meses que la empresa tuvo las mayores ventas</t>
  </si>
  <si>
    <t>%  VENTAS POR MES</t>
  </si>
  <si>
    <t>1.Identifique que mes tuvo la mayor venta la empresa</t>
  </si>
  <si>
    <t>La empresa realizará el análisis por 100 productos que ingresaron a la empresa.</t>
  </si>
  <si>
    <t>o</t>
  </si>
  <si>
    <t>PRODUCTO A</t>
  </si>
  <si>
    <t>PRODUCTOS B</t>
  </si>
  <si>
    <t>PRODUCTOS C</t>
  </si>
  <si>
    <t>VALOR X PRODUCTO</t>
  </si>
  <si>
    <t>PRODUCTO B</t>
  </si>
  <si>
    <t>PRODUCTO C</t>
  </si>
  <si>
    <t>%</t>
  </si>
  <si>
    <t>PRODUCTOS</t>
  </si>
  <si>
    <t>A</t>
  </si>
  <si>
    <t>B</t>
  </si>
  <si>
    <t>C</t>
  </si>
  <si>
    <t>CANTIDAD</t>
  </si>
  <si>
    <t>VALOR</t>
  </si>
  <si>
    <t>METODO ABC</t>
  </si>
  <si>
    <t>DE LAS VENTAS</t>
  </si>
  <si>
    <t>DE ARTICULOS DE LA COMPANIA</t>
  </si>
  <si>
    <t>SE CONCENTRARON EN ARTICULOS</t>
  </si>
  <si>
    <t>CORRESPONDEN A ARTICULOS B Y C</t>
  </si>
  <si>
    <t>SEGUN METODO ABC</t>
  </si>
  <si>
    <t>%  VENTAS POR MES TOTALES</t>
  </si>
  <si>
    <t>STOCK  DE PRODUCTOS TOTAL</t>
  </si>
  <si>
    <t>COSTO POR PRODUCTO</t>
  </si>
  <si>
    <t>CALCULO</t>
  </si>
  <si>
    <t xml:space="preserve">1.-Identifique que mes tuvo la mayor venta la empresa </t>
  </si>
  <si>
    <t xml:space="preserve">2.- Identifique que mes tuvo la menor venta </t>
  </si>
  <si>
    <t>3.- Nombre los meses que la empresa tuvo las mayores ventas.</t>
  </si>
  <si>
    <t>El mes de octubre</t>
  </si>
  <si>
    <t>el mes de enero</t>
  </si>
  <si>
    <t>los meses de abril ,Junio y octubre</t>
  </si>
  <si>
    <t>CANTIDADES</t>
  </si>
  <si>
    <t>TOTAL</t>
  </si>
  <si>
    <t>VALORES</t>
  </si>
  <si>
    <t>NARANJO</t>
  </si>
  <si>
    <t>AZUL</t>
  </si>
  <si>
    <t>en la Grafica</t>
  </si>
  <si>
    <t>PLOMO</t>
  </si>
  <si>
    <t>5,7,11</t>
  </si>
  <si>
    <t>PREGUNTAS</t>
  </si>
  <si>
    <t>RESPUESTAS</t>
  </si>
  <si>
    <t>STOCK BODEGA</t>
  </si>
  <si>
    <t>unidades</t>
  </si>
  <si>
    <t>STOCK RESTANTE</t>
  </si>
  <si>
    <t>en enero se vendio lo minimo</t>
  </si>
  <si>
    <t>En abril se vendieron mas productos</t>
  </si>
  <si>
    <t>en abril,septiembre y octubre se vendieron mas productos</t>
  </si>
  <si>
    <t>del producto a y c</t>
  </si>
  <si>
    <t>del producto a,b,c</t>
  </si>
  <si>
    <t>ANALISIS DE CANTIDADES VENDIDAS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</si>
</sst>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 &quot;$&quot;* #,##0_ ;_ &quot;$&quot;* \-#,##0_ ;_ &quot;$&quot;* &quot;-&quot;_ ;_ 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4" fillId="0" borderId="0" applyFont="0" applyFill="0" applyBorder="0" applyAlignment="0" applyProtection="0"/>
  </cellStyleXfs>
  <cellXfs count="9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0" fontId="3" fillId="0" borderId="0" xfId="0" applyFont="1"/>
    <xf numFmtId="0" fontId="0" fillId="0" borderId="0" xfId="0" applyAlignment="1">
      <alignment horizontal="center"/>
    </xf>
    <xf numFmtId="9" fontId="0" fillId="0" borderId="0" xfId="0" applyNumberFormat="1"/>
    <xf numFmtId="0" fontId="0" fillId="0" borderId="0" xfId="0" quotePrefix="1"/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6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42" fontId="0" fillId="0" borderId="3" xfId="1" applyFont="1" applyBorder="1"/>
    <xf numFmtId="42" fontId="0" fillId="0" borderId="4" xfId="1" applyFont="1" applyBorder="1"/>
    <xf numFmtId="42" fontId="0" fillId="0" borderId="5" xfId="1" applyFont="1" applyBorder="1" applyAlignment="1">
      <alignment horizontal="center"/>
    </xf>
    <xf numFmtId="49" fontId="0" fillId="0" borderId="0" xfId="0" applyNumberFormat="1"/>
    <xf numFmtId="42" fontId="1" fillId="0" borderId="12" xfId="0" applyNumberFormat="1" applyFont="1" applyBorder="1"/>
    <xf numFmtId="42" fontId="1" fillId="0" borderId="13" xfId="0" applyNumberFormat="1" applyFont="1" applyBorder="1"/>
    <xf numFmtId="42" fontId="1" fillId="0" borderId="14" xfId="0" applyNumberFormat="1" applyFont="1" applyBorder="1"/>
    <xf numFmtId="0" fontId="3" fillId="0" borderId="19" xfId="0" applyFont="1" applyBorder="1"/>
    <xf numFmtId="0" fontId="3" fillId="0" borderId="21" xfId="0" applyFont="1" applyBorder="1"/>
    <xf numFmtId="0" fontId="3" fillId="0" borderId="22" xfId="0" applyFont="1" applyBorder="1"/>
    <xf numFmtId="0" fontId="0" fillId="0" borderId="1" xfId="0" applyFont="1" applyBorder="1"/>
    <xf numFmtId="42" fontId="0" fillId="0" borderId="1" xfId="0" applyNumberFormat="1" applyFont="1" applyBorder="1"/>
    <xf numFmtId="42" fontId="1" fillId="0" borderId="4" xfId="1" applyFont="1" applyBorder="1"/>
    <xf numFmtId="42" fontId="1" fillId="2" borderId="4" xfId="1" applyFont="1" applyFill="1" applyBorder="1"/>
    <xf numFmtId="49" fontId="3" fillId="0" borderId="1" xfId="0" applyNumberFormat="1" applyFont="1" applyBorder="1" applyAlignment="1">
      <alignment horizontal="center" wrapText="1"/>
    </xf>
    <xf numFmtId="0" fontId="0" fillId="0" borderId="0" xfId="0" applyFill="1" applyBorder="1"/>
    <xf numFmtId="0" fontId="0" fillId="0" borderId="0" xfId="0" applyBorder="1"/>
    <xf numFmtId="0" fontId="1" fillId="0" borderId="0" xfId="0" applyFont="1" applyBorder="1" applyAlignment="1">
      <alignment horizontal="center"/>
    </xf>
    <xf numFmtId="42" fontId="1" fillId="0" borderId="0" xfId="0" applyNumberFormat="1" applyFont="1"/>
    <xf numFmtId="0" fontId="0" fillId="0" borderId="0" xfId="0" applyAlignment="1">
      <alignment horizontal="left"/>
    </xf>
    <xf numFmtId="42" fontId="6" fillId="2" borderId="4" xfId="1" applyFont="1" applyFill="1" applyBorder="1"/>
    <xf numFmtId="0" fontId="0" fillId="0" borderId="7" xfId="0" applyFont="1" applyBorder="1"/>
    <xf numFmtId="0" fontId="0" fillId="0" borderId="9" xfId="0" applyFont="1" applyBorder="1"/>
    <xf numFmtId="0" fontId="0" fillId="0" borderId="11" xfId="0" applyFont="1" applyBorder="1"/>
    <xf numFmtId="42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49" fontId="3" fillId="0" borderId="25" xfId="0" applyNumberFormat="1" applyFont="1" applyBorder="1" applyAlignment="1">
      <alignment horizontal="center" wrapText="1"/>
    </xf>
    <xf numFmtId="42" fontId="0" fillId="0" borderId="25" xfId="0" applyNumberFormat="1" applyFont="1" applyBorder="1"/>
    <xf numFmtId="0" fontId="0" fillId="3" borderId="15" xfId="0" applyFill="1" applyBorder="1"/>
    <xf numFmtId="0" fontId="0" fillId="4" borderId="15" xfId="0" applyFill="1" applyBorder="1"/>
    <xf numFmtId="0" fontId="0" fillId="5" borderId="2" xfId="0" applyFill="1" applyBorder="1"/>
    <xf numFmtId="49" fontId="1" fillId="0" borderId="18" xfId="0" applyNumberFormat="1" applyFont="1" applyBorder="1"/>
    <xf numFmtId="9" fontId="0" fillId="0" borderId="1" xfId="0" applyNumberFormat="1" applyBorder="1" applyAlignment="1">
      <alignment horizontal="center"/>
    </xf>
    <xf numFmtId="9" fontId="0" fillId="0" borderId="1" xfId="0" applyNumberFormat="1" applyBorder="1"/>
    <xf numFmtId="9" fontId="0" fillId="0" borderId="0" xfId="0" applyNumberFormat="1" applyBorder="1" applyAlignment="1">
      <alignment horizontal="center"/>
    </xf>
    <xf numFmtId="9" fontId="0" fillId="0" borderId="9" xfId="0" applyNumberFormat="1" applyBorder="1" applyAlignment="1">
      <alignment horizontal="center"/>
    </xf>
    <xf numFmtId="0" fontId="0" fillId="0" borderId="17" xfId="0" applyBorder="1"/>
    <xf numFmtId="0" fontId="1" fillId="0" borderId="0" xfId="0" applyFont="1"/>
    <xf numFmtId="49" fontId="1" fillId="0" borderId="0" xfId="0" applyNumberFormat="1" applyFont="1" applyFill="1" applyBorder="1"/>
    <xf numFmtId="0" fontId="0" fillId="0" borderId="28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9" fontId="0" fillId="0" borderId="30" xfId="0" applyNumberFormat="1" applyBorder="1" applyAlignment="1">
      <alignment horizontal="center"/>
    </xf>
    <xf numFmtId="9" fontId="0" fillId="0" borderId="31" xfId="0" applyNumberFormat="1" applyBorder="1" applyAlignment="1">
      <alignment horizontal="center"/>
    </xf>
    <xf numFmtId="9" fontId="0" fillId="0" borderId="32" xfId="0" applyNumberFormat="1" applyBorder="1" applyAlignment="1">
      <alignment horizontal="center"/>
    </xf>
    <xf numFmtId="9" fontId="0" fillId="0" borderId="33" xfId="0" applyNumberFormat="1" applyBorder="1" applyAlignment="1">
      <alignment horizontal="center"/>
    </xf>
    <xf numFmtId="9" fontId="0" fillId="0" borderId="23" xfId="0" applyNumberForma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5" xfId="0" applyBorder="1"/>
    <xf numFmtId="0" fontId="0" fillId="0" borderId="33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42" fontId="1" fillId="0" borderId="6" xfId="0" applyNumberFormat="1" applyFont="1" applyBorder="1"/>
    <xf numFmtId="42" fontId="1" fillId="0" borderId="8" xfId="0" applyNumberFormat="1" applyFont="1" applyBorder="1"/>
    <xf numFmtId="42" fontId="1" fillId="0" borderId="10" xfId="0" applyNumberFormat="1" applyFont="1" applyBorder="1"/>
    <xf numFmtId="9" fontId="0" fillId="0" borderId="24" xfId="0" applyNumberFormat="1" applyBorder="1" applyAlignment="1">
      <alignment horizontal="center"/>
    </xf>
    <xf numFmtId="0" fontId="1" fillId="0" borderId="27" xfId="0" applyFont="1" applyBorder="1" applyAlignment="1">
      <alignment horizontal="center"/>
    </xf>
    <xf numFmtId="42" fontId="0" fillId="0" borderId="27" xfId="1" applyFont="1" applyBorder="1" applyAlignment="1">
      <alignment horizontal="center"/>
    </xf>
    <xf numFmtId="42" fontId="0" fillId="0" borderId="20" xfId="1" applyFont="1" applyBorder="1" applyAlignment="1">
      <alignment horizontal="center"/>
    </xf>
    <xf numFmtId="42" fontId="0" fillId="0" borderId="30" xfId="0" applyNumberFormat="1" applyFont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1" xfId="0" applyFont="1" applyBorder="1"/>
    <xf numFmtId="42" fontId="0" fillId="0" borderId="32" xfId="0" applyNumberFormat="1" applyFont="1" applyBorder="1" applyAlignment="1">
      <alignment horizontal="center"/>
    </xf>
    <xf numFmtId="42" fontId="0" fillId="0" borderId="35" xfId="0" applyNumberFormat="1" applyFont="1" applyBorder="1" applyAlignment="1">
      <alignment horizontal="center"/>
    </xf>
    <xf numFmtId="0" fontId="0" fillId="0" borderId="35" xfId="0" applyFont="1" applyBorder="1"/>
    <xf numFmtId="42" fontId="0" fillId="0" borderId="33" xfId="0" applyNumberFormat="1" applyFont="1" applyBorder="1" applyAlignment="1">
      <alignment horizontal="center"/>
    </xf>
    <xf numFmtId="0" fontId="0" fillId="2" borderId="0" xfId="0" applyFill="1"/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Analisis cantidades vendidas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MATRIZ!$I$10:$T$10</c:f>
              <c:strCache>
                <c:ptCount val="12"/>
                <c:pt idx="0">
                  <c:v>DIC</c:v>
                </c:pt>
                <c:pt idx="1">
                  <c:v>ENERO</c:v>
                </c:pt>
                <c:pt idx="2">
                  <c:v>FEBRERO</c:v>
                </c:pt>
                <c:pt idx="3">
                  <c:v>MARZO</c:v>
                </c:pt>
                <c:pt idx="4">
                  <c:v>ABRIL</c:v>
                </c:pt>
                <c:pt idx="5">
                  <c:v>MAYO</c:v>
                </c:pt>
                <c:pt idx="6">
                  <c:v>JUNIO</c:v>
                </c:pt>
                <c:pt idx="7">
                  <c:v>JULIO</c:v>
                </c:pt>
                <c:pt idx="8">
                  <c:v>AGOST</c:v>
                </c:pt>
                <c:pt idx="9">
                  <c:v>SEPT.</c:v>
                </c:pt>
                <c:pt idx="10">
                  <c:v>OCT</c:v>
                </c:pt>
                <c:pt idx="11">
                  <c:v>NOV</c:v>
                </c:pt>
              </c:strCache>
            </c:strRef>
          </c:cat>
          <c:val>
            <c:numRef>
              <c:f>MATRIZ!$I$11:$T$11</c:f>
              <c:numCache>
                <c:formatCode>General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8</c:v>
                </c:pt>
                <c:pt idx="4">
                  <c:v>16</c:v>
                </c:pt>
                <c:pt idx="5">
                  <c:v>8</c:v>
                </c:pt>
                <c:pt idx="6">
                  <c:v>10</c:v>
                </c:pt>
                <c:pt idx="7">
                  <c:v>6</c:v>
                </c:pt>
                <c:pt idx="8">
                  <c:v>11</c:v>
                </c:pt>
                <c:pt idx="9">
                  <c:v>14</c:v>
                </c:pt>
                <c:pt idx="10">
                  <c:v>12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E-4F38-B05E-2FA373E2E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849952"/>
        <c:axId val="279850368"/>
      </c:barChart>
      <c:catAx>
        <c:axId val="27984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79850368"/>
        <c:crosses val="autoZero"/>
        <c:auto val="1"/>
        <c:lblAlgn val="ctr"/>
        <c:lblOffset val="100"/>
        <c:noMultiLvlLbl val="0"/>
      </c:catAx>
      <c:valAx>
        <c:axId val="27985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7984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ANALISIS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12806343263036177"/>
          <c:y val="0.13409255242227044"/>
          <c:w val="0.83464053007360095"/>
          <c:h val="0.69933699990321163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'VENTAS TOTALES'!$D$9:$O$9</c:f>
              <c:numCache>
                <c:formatCode>General</c:formatCode>
                <c:ptCount val="12"/>
                <c:pt idx="0" formatCode="_(&quot;$&quot;* #,##0_);_(&quot;$&quot;* \(#,##0\);_(&quot;$&quot;* &quot;-&quot;_);_(@_)">
                  <c:v>196508</c:v>
                </c:pt>
                <c:pt idx="2" formatCode="_(&quot;$&quot;* #,##0_);_(&quot;$&quot;* \(#,##0\);_(&quot;$&quot;* &quot;-&quot;_);_(@_)">
                  <c:v>294762</c:v>
                </c:pt>
                <c:pt idx="4" formatCode="_(&quot;$&quot;* #,##0_);_(&quot;$&quot;* \(#,##0\);_(&quot;$&quot;* &quot;-&quot;_);_(@_)">
                  <c:v>393016</c:v>
                </c:pt>
                <c:pt idx="6" formatCode="_(&quot;$&quot;* #,##0_);_(&quot;$&quot;* \(#,##0\);_(&quot;$&quot;* &quot;-&quot;_);_(@_)">
                  <c:v>491270</c:v>
                </c:pt>
                <c:pt idx="7" formatCode="_(&quot;$&quot;* #,##0_);_(&quot;$&quot;* \(#,##0\);_(&quot;$&quot;* &quot;-&quot;_);_(@_)">
                  <c:v>393016</c:v>
                </c:pt>
                <c:pt idx="10" formatCode="_(&quot;$&quot;* #,##0_);_(&quot;$&quot;* \(#,##0\);_(&quot;$&quot;* &quot;-&quot;_);_(@_)">
                  <c:v>982540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E0-4387-9CC8-A1E9919B79C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'VENTAS TOTALES'!$D$10:$O$10</c:f>
              <c:numCache>
                <c:formatCode>General</c:formatCode>
                <c:ptCount val="12"/>
                <c:pt idx="0" formatCode="_(&quot;$&quot;* #,##0_);_(&quot;$&quot;* \(#,##0\);_(&quot;$&quot;* &quot;-&quot;_);_(@_)">
                  <c:v>52000</c:v>
                </c:pt>
                <c:pt idx="2" formatCode="_(&quot;$&quot;* #,##0_);_(&quot;$&quot;* \(#,##0\);_(&quot;$&quot;* &quot;-&quot;_);_(@_)">
                  <c:v>104000</c:v>
                </c:pt>
                <c:pt idx="3" formatCode="_(&quot;$&quot;* #,##0_);_(&quot;$&quot;* \(#,##0\);_(&quot;$&quot;* &quot;-&quot;_);_(@_)">
                  <c:v>156000</c:v>
                </c:pt>
                <c:pt idx="4" formatCode="_(&quot;$&quot;* #,##0_);_(&quot;$&quot;* \(#,##0\);_(&quot;$&quot;* &quot;-&quot;_);_(@_)">
                  <c:v>208000</c:v>
                </c:pt>
                <c:pt idx="5" formatCode="_(&quot;$&quot;* #,##0_);_(&quot;$&quot;* \(#,##0\);_(&quot;$&quot;* &quot;-&quot;_);_(@_)">
                  <c:v>104000</c:v>
                </c:pt>
                <c:pt idx="6" formatCode="_(&quot;$&quot;* #,##0_);_(&quot;$&quot;* \(#,##0\);_(&quot;$&quot;* &quot;-&quot;_);_(@_)">
                  <c:v>52000</c:v>
                </c:pt>
                <c:pt idx="7" formatCode="_(&quot;$&quot;* #,##0_);_(&quot;$&quot;* \(#,##0\);_(&quot;$&quot;* &quot;-&quot;_);_(@_)">
                  <c:v>52000</c:v>
                </c:pt>
                <c:pt idx="8" formatCode="_(&quot;$&quot;* #,##0_);_(&quot;$&quot;* \(#,##0\);_(&quot;$&quot;* &quot;-&quot;_);_(@_)">
                  <c:v>156000</c:v>
                </c:pt>
                <c:pt idx="9" formatCode="_(&quot;$&quot;* #,##0_);_(&quot;$&quot;* \(#,##0\);_(&quot;$&quot;* &quot;-&quot;_);_(@_)">
                  <c:v>260000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E0-4387-9CC8-A1E9919B79C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'VENTAS TOTALES'!$D$11:$O$11</c:f>
              <c:numCache>
                <c:formatCode>_("$"* #,##0_);_("$"* \(#,##0\);_("$"* "-"_);_(@_)</c:formatCode>
                <c:ptCount val="12"/>
                <c:pt idx="0">
                  <c:v>22100</c:v>
                </c:pt>
                <c:pt idx="1">
                  <c:v>22100</c:v>
                </c:pt>
                <c:pt idx="3">
                  <c:v>110500</c:v>
                </c:pt>
                <c:pt idx="4">
                  <c:v>176800</c:v>
                </c:pt>
                <c:pt idx="5">
                  <c:v>132600</c:v>
                </c:pt>
                <c:pt idx="6">
                  <c:v>88400</c:v>
                </c:pt>
                <c:pt idx="7">
                  <c:v>22100</c:v>
                </c:pt>
                <c:pt idx="8">
                  <c:v>176800</c:v>
                </c:pt>
                <c:pt idx="9">
                  <c:v>198900</c:v>
                </c:pt>
                <c:pt idx="10">
                  <c:v>44200</c:v>
                </c:pt>
                <c:pt idx="11">
                  <c:v>110500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E0-4387-9CC8-A1E9919B7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702016"/>
        <c:axId val="56702432"/>
      </c:barChart>
      <c:catAx>
        <c:axId val="567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6702432"/>
        <c:crosses val="autoZero"/>
        <c:auto val="1"/>
        <c:lblAlgn val="ctr"/>
        <c:lblOffset val="100"/>
        <c:noMultiLvlLbl val="0"/>
      </c:catAx>
      <c:valAx>
        <c:axId val="5670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670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ANALISIS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'VENTAS TOTALES'!$B$9:$C$9</c:f>
              <c:strCache>
                <c:ptCount val="2"/>
                <c:pt idx="0">
                  <c:v>PRODUCTO A</c:v>
                </c:pt>
                <c:pt idx="1">
                  <c:v> $98.254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'VENTAS TOTALES'!$D$7:$O$8</c:f>
              <c:strCache>
                <c:ptCount val="12"/>
                <c:pt idx="0">
                  <c:v>DIC</c:v>
                </c:pt>
                <c:pt idx="1">
                  <c:v>ENERO</c:v>
                </c:pt>
                <c:pt idx="2">
                  <c:v>FEBRERO</c:v>
                </c:pt>
                <c:pt idx="3">
                  <c:v>MARZO</c:v>
                </c:pt>
                <c:pt idx="4">
                  <c:v>ABRIL</c:v>
                </c:pt>
                <c:pt idx="5">
                  <c:v>MAYO</c:v>
                </c:pt>
                <c:pt idx="6">
                  <c:v>JUNIO</c:v>
                </c:pt>
                <c:pt idx="7">
                  <c:v>JULIO</c:v>
                </c:pt>
                <c:pt idx="8">
                  <c:v>AGOST</c:v>
                </c:pt>
                <c:pt idx="9">
                  <c:v>SEPT.</c:v>
                </c:pt>
                <c:pt idx="10">
                  <c:v>OCT</c:v>
                </c:pt>
                <c:pt idx="11">
                  <c:v>NOV</c:v>
                </c:pt>
              </c:strCache>
            </c:strRef>
          </c:cat>
          <c:val>
            <c:numRef>
              <c:f>'VENTAS TOTALES'!$D$9:$O$9</c:f>
              <c:numCache>
                <c:formatCode>General</c:formatCode>
                <c:ptCount val="12"/>
                <c:pt idx="0" formatCode="_(&quot;$&quot;* #,##0_);_(&quot;$&quot;* \(#,##0\);_(&quot;$&quot;* &quot;-&quot;_);_(@_)">
                  <c:v>196508</c:v>
                </c:pt>
                <c:pt idx="2" formatCode="_(&quot;$&quot;* #,##0_);_(&quot;$&quot;* \(#,##0\);_(&quot;$&quot;* &quot;-&quot;_);_(@_)">
                  <c:v>294762</c:v>
                </c:pt>
                <c:pt idx="4" formatCode="_(&quot;$&quot;* #,##0_);_(&quot;$&quot;* \(#,##0\);_(&quot;$&quot;* &quot;-&quot;_);_(@_)">
                  <c:v>393016</c:v>
                </c:pt>
                <c:pt idx="6" formatCode="_(&quot;$&quot;* #,##0_);_(&quot;$&quot;* \(#,##0\);_(&quot;$&quot;* &quot;-&quot;_);_(@_)">
                  <c:v>491270</c:v>
                </c:pt>
                <c:pt idx="7" formatCode="_(&quot;$&quot;* #,##0_);_(&quot;$&quot;* \(#,##0\);_(&quot;$&quot;* &quot;-&quot;_);_(@_)">
                  <c:v>393016</c:v>
                </c:pt>
                <c:pt idx="10" formatCode="_(&quot;$&quot;* #,##0_);_(&quot;$&quot;* \(#,##0\);_(&quot;$&quot;* &quot;-&quot;_);_(@_)">
                  <c:v>982540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21-4450-8C59-9400EF237200}"/>
            </c:ext>
          </c:extLst>
        </c:ser>
        <c:ser>
          <c:idx val="1"/>
          <c:order val="1"/>
          <c:tx>
            <c:strRef>
              <c:f>'VENTAS TOTALES'!$B$10:$C$10</c:f>
              <c:strCache>
                <c:ptCount val="2"/>
                <c:pt idx="0">
                  <c:v>PRODUCTO B</c:v>
                </c:pt>
                <c:pt idx="1">
                  <c:v> $52.000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'VENTAS TOTALES'!$D$7:$O$8</c:f>
              <c:strCache>
                <c:ptCount val="12"/>
                <c:pt idx="0">
                  <c:v>DIC</c:v>
                </c:pt>
                <c:pt idx="1">
                  <c:v>ENERO</c:v>
                </c:pt>
                <c:pt idx="2">
                  <c:v>FEBRERO</c:v>
                </c:pt>
                <c:pt idx="3">
                  <c:v>MARZO</c:v>
                </c:pt>
                <c:pt idx="4">
                  <c:v>ABRIL</c:v>
                </c:pt>
                <c:pt idx="5">
                  <c:v>MAYO</c:v>
                </c:pt>
                <c:pt idx="6">
                  <c:v>JUNIO</c:v>
                </c:pt>
                <c:pt idx="7">
                  <c:v>JULIO</c:v>
                </c:pt>
                <c:pt idx="8">
                  <c:v>AGOST</c:v>
                </c:pt>
                <c:pt idx="9">
                  <c:v>SEPT.</c:v>
                </c:pt>
                <c:pt idx="10">
                  <c:v>OCT</c:v>
                </c:pt>
                <c:pt idx="11">
                  <c:v>NOV</c:v>
                </c:pt>
              </c:strCache>
            </c:strRef>
          </c:cat>
          <c:val>
            <c:numRef>
              <c:f>'VENTAS TOTALES'!$D$10:$O$10</c:f>
              <c:numCache>
                <c:formatCode>General</c:formatCode>
                <c:ptCount val="12"/>
                <c:pt idx="0" formatCode="_(&quot;$&quot;* #,##0_);_(&quot;$&quot;* \(#,##0\);_(&quot;$&quot;* &quot;-&quot;_);_(@_)">
                  <c:v>52000</c:v>
                </c:pt>
                <c:pt idx="2" formatCode="_(&quot;$&quot;* #,##0_);_(&quot;$&quot;* \(#,##0\);_(&quot;$&quot;* &quot;-&quot;_);_(@_)">
                  <c:v>104000</c:v>
                </c:pt>
                <c:pt idx="3" formatCode="_(&quot;$&quot;* #,##0_);_(&quot;$&quot;* \(#,##0\);_(&quot;$&quot;* &quot;-&quot;_);_(@_)">
                  <c:v>156000</c:v>
                </c:pt>
                <c:pt idx="4" formatCode="_(&quot;$&quot;* #,##0_);_(&quot;$&quot;* \(#,##0\);_(&quot;$&quot;* &quot;-&quot;_);_(@_)">
                  <c:v>208000</c:v>
                </c:pt>
                <c:pt idx="5" formatCode="_(&quot;$&quot;* #,##0_);_(&quot;$&quot;* \(#,##0\);_(&quot;$&quot;* &quot;-&quot;_);_(@_)">
                  <c:v>104000</c:v>
                </c:pt>
                <c:pt idx="6" formatCode="_(&quot;$&quot;* #,##0_);_(&quot;$&quot;* \(#,##0\);_(&quot;$&quot;* &quot;-&quot;_);_(@_)">
                  <c:v>52000</c:v>
                </c:pt>
                <c:pt idx="7" formatCode="_(&quot;$&quot;* #,##0_);_(&quot;$&quot;* \(#,##0\);_(&quot;$&quot;* &quot;-&quot;_);_(@_)">
                  <c:v>52000</c:v>
                </c:pt>
                <c:pt idx="8" formatCode="_(&quot;$&quot;* #,##0_);_(&quot;$&quot;* \(#,##0\);_(&quot;$&quot;* &quot;-&quot;_);_(@_)">
                  <c:v>156000</c:v>
                </c:pt>
                <c:pt idx="9" formatCode="_(&quot;$&quot;* #,##0_);_(&quot;$&quot;* \(#,##0\);_(&quot;$&quot;* &quot;-&quot;_);_(@_)">
                  <c:v>260000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21-4450-8C59-9400EF237200}"/>
            </c:ext>
          </c:extLst>
        </c:ser>
        <c:ser>
          <c:idx val="2"/>
          <c:order val="2"/>
          <c:tx>
            <c:strRef>
              <c:f>'VENTAS TOTALES'!$B$11:$C$11</c:f>
              <c:strCache>
                <c:ptCount val="2"/>
                <c:pt idx="0">
                  <c:v>PRODUCTO C</c:v>
                </c:pt>
                <c:pt idx="1">
                  <c:v> $22.100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'VENTAS TOTALES'!$D$7:$O$8</c:f>
              <c:strCache>
                <c:ptCount val="12"/>
                <c:pt idx="0">
                  <c:v>DIC</c:v>
                </c:pt>
                <c:pt idx="1">
                  <c:v>ENERO</c:v>
                </c:pt>
                <c:pt idx="2">
                  <c:v>FEBRERO</c:v>
                </c:pt>
                <c:pt idx="3">
                  <c:v>MARZO</c:v>
                </c:pt>
                <c:pt idx="4">
                  <c:v>ABRIL</c:v>
                </c:pt>
                <c:pt idx="5">
                  <c:v>MAYO</c:v>
                </c:pt>
                <c:pt idx="6">
                  <c:v>JUNIO</c:v>
                </c:pt>
                <c:pt idx="7">
                  <c:v>JULIO</c:v>
                </c:pt>
                <c:pt idx="8">
                  <c:v>AGOST</c:v>
                </c:pt>
                <c:pt idx="9">
                  <c:v>SEPT.</c:v>
                </c:pt>
                <c:pt idx="10">
                  <c:v>OCT</c:v>
                </c:pt>
                <c:pt idx="11">
                  <c:v>NOV</c:v>
                </c:pt>
              </c:strCache>
            </c:strRef>
          </c:cat>
          <c:val>
            <c:numRef>
              <c:f>'VENTAS TOTALES'!$D$11:$O$11</c:f>
              <c:numCache>
                <c:formatCode>_("$"* #,##0_);_("$"* \(#,##0\);_("$"* "-"_);_(@_)</c:formatCode>
                <c:ptCount val="12"/>
                <c:pt idx="0">
                  <c:v>22100</c:v>
                </c:pt>
                <c:pt idx="1">
                  <c:v>22100</c:v>
                </c:pt>
                <c:pt idx="3">
                  <c:v>110500</c:v>
                </c:pt>
                <c:pt idx="4">
                  <c:v>176800</c:v>
                </c:pt>
                <c:pt idx="5">
                  <c:v>132600</c:v>
                </c:pt>
                <c:pt idx="6">
                  <c:v>88400</c:v>
                </c:pt>
                <c:pt idx="7">
                  <c:v>22100</c:v>
                </c:pt>
                <c:pt idx="8">
                  <c:v>176800</c:v>
                </c:pt>
                <c:pt idx="9">
                  <c:v>198900</c:v>
                </c:pt>
                <c:pt idx="10">
                  <c:v>44200</c:v>
                </c:pt>
                <c:pt idx="11">
                  <c:v>110500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21-4450-8C59-9400EF237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4843712"/>
        <c:axId val="254844128"/>
      </c:barChart>
      <c:catAx>
        <c:axId val="25484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54844128"/>
        <c:crosses val="autoZero"/>
        <c:auto val="1"/>
        <c:lblAlgn val="ctr"/>
        <c:lblOffset val="100"/>
        <c:noMultiLvlLbl val="0"/>
      </c:catAx>
      <c:valAx>
        <c:axId val="25484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5484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438150</xdr:colOff>
      <xdr:row>1</xdr:row>
      <xdr:rowOff>116205</xdr:rowOff>
    </xdr:from>
    <xdr:to>
      <xdr:col>6</xdr:col>
      <xdr:colOff>570621</xdr:colOff>
      <xdr:row>26</xdr:row>
      <xdr:rowOff>140970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64AD961-008F-97EA-4B88-7E7555B7F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" y="306705"/>
          <a:ext cx="4875921" cy="4608195"/>
        </a:xfrm>
        <a:prstGeom prst="rect">
          <a:avLst/>
        </a:prstGeom>
      </xdr:spPr>
    </xdr:pic>
    <xdr:clientData/>
  </xdr:twoCellAnchor>
  <xdr:twoCellAnchor>
    <xdr:from>
      <xdr:col>14</xdr:col>
      <xdr:colOff>335280</xdr:colOff>
      <xdr:row>15</xdr:row>
      <xdr:rowOff>83820</xdr:rowOff>
    </xdr:from>
    <xdr:to>
      <xdr:col>22</xdr:col>
      <xdr:colOff>746760</xdr:colOff>
      <xdr:row>32</xdr:row>
      <xdr:rowOff>22860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6E270C85-D38A-4054-BC37-6AEBF8319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13</xdr:row>
      <xdr:rowOff>137160</xdr:rowOff>
    </xdr:from>
    <xdr:to>
      <xdr:col>13</xdr:col>
      <xdr:colOff>472440</xdr:colOff>
      <xdr:row>30</xdr:row>
      <xdr:rowOff>175260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6C1FBCD-BF72-4274-BD45-04B4E8EA1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259080</xdr:colOff>
      <xdr:row>2</xdr:row>
      <xdr:rowOff>15241</xdr:rowOff>
    </xdr:from>
    <xdr:to>
      <xdr:col>19</xdr:col>
      <xdr:colOff>298606</xdr:colOff>
      <xdr:row>12</xdr:row>
      <xdr:rowOff>129541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C36B704-AB7A-49C1-B4E4-56EC421AB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97740" y="381001"/>
          <a:ext cx="2416966" cy="1798320"/>
        </a:xfrm>
        <a:prstGeom prst="rect">
          <a:avLst/>
        </a:prstGeom>
      </xdr:spPr>
    </xdr:pic>
    <xdr:clientData/>
  </xdr:twoCellAnchor>
  <xdr:twoCellAnchor>
    <xdr:from>
      <xdr:col>13</xdr:col>
      <xdr:colOff>746760</xdr:colOff>
      <xdr:row>14</xdr:row>
      <xdr:rowOff>22860</xdr:rowOff>
    </xdr:from>
    <xdr:to>
      <xdr:col>21</xdr:col>
      <xdr:colOff>396240</xdr:colOff>
      <xdr:row>31</xdr:row>
      <xdr:rowOff>45720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02B0896-B02F-4C45-B83C-7690372531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655320</xdr:colOff>
      <xdr:row>3</xdr:row>
      <xdr:rowOff>22860</xdr:rowOff>
    </xdr:from>
    <xdr:to>
      <xdr:col>10</xdr:col>
      <xdr:colOff>541020</xdr:colOff>
      <xdr:row>18</xdr:row>
      <xdr:rowOff>127561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70BC1C9-BC3F-4A18-BDF4-1E2BFE68F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66260" y="571500"/>
          <a:ext cx="3848100" cy="28631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D3DC-83F3-440D-BFEA-F91479DABC57}">
  <dimension ref="A1:Y52"/>
  <sheetViews>
    <sheetView tabSelected="1" topLeftCell="E1" workbookViewId="0">
      <selection activeCell="V9" sqref="V9:W14"/>
    </sheetView>
  </sheetViews>
  <sheetFormatPr baseColWidth="10" defaultRowHeight="14.4" x14ac:dyDescent="0.3"/>
  <cols>
    <col min="9" max="9" width="6.6640625" customWidth="1"/>
    <col min="10" max="10" width="11" customWidth="1"/>
    <col min="11" max="11" width="9" customWidth="1"/>
    <col min="12" max="12" width="8.88671875" customWidth="1"/>
    <col min="13" max="13" width="7.77734375" customWidth="1"/>
    <col min="14" max="17" width="6.6640625" customWidth="1"/>
    <col min="18" max="18" width="12.5546875" customWidth="1"/>
    <col min="19" max="20" width="6.6640625" customWidth="1"/>
  </cols>
  <sheetData>
    <row r="1" spans="8:24" ht="15" thickBot="1" x14ac:dyDescent="0.35"/>
    <row r="2" spans="8:24" ht="15" thickBot="1" x14ac:dyDescent="0.35">
      <c r="K2" s="21" t="s">
        <v>21</v>
      </c>
      <c r="L2" s="22"/>
      <c r="M2" s="23"/>
    </row>
    <row r="3" spans="8:24" x14ac:dyDescent="0.3">
      <c r="K3" s="4" t="s">
        <v>18</v>
      </c>
      <c r="L3" s="5"/>
      <c r="M3" s="10">
        <v>98254</v>
      </c>
    </row>
    <row r="4" spans="8:24" x14ac:dyDescent="0.3">
      <c r="K4" s="6" t="s">
        <v>19</v>
      </c>
      <c r="L4" s="7"/>
      <c r="M4" s="11">
        <v>52000</v>
      </c>
    </row>
    <row r="5" spans="8:24" ht="15" thickBot="1" x14ac:dyDescent="0.35">
      <c r="K5" s="8" t="s">
        <v>20</v>
      </c>
      <c r="L5" s="9"/>
      <c r="M5" s="12">
        <v>22100</v>
      </c>
    </row>
    <row r="8" spans="8:24" ht="15" thickBot="1" x14ac:dyDescent="0.35"/>
    <row r="9" spans="8:24" ht="15" thickBot="1" x14ac:dyDescent="0.35">
      <c r="I9" s="21" t="s">
        <v>14</v>
      </c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3"/>
      <c r="V9" s="61" t="s">
        <v>36</v>
      </c>
      <c r="W9" s="61"/>
      <c r="X9" s="40"/>
    </row>
    <row r="10" spans="8:24" x14ac:dyDescent="0.3">
      <c r="I10" s="73" t="s">
        <v>0</v>
      </c>
      <c r="J10" s="74" t="s">
        <v>1</v>
      </c>
      <c r="K10" s="74" t="s">
        <v>2</v>
      </c>
      <c r="L10" s="74" t="s">
        <v>3</v>
      </c>
      <c r="M10" s="74" t="s">
        <v>4</v>
      </c>
      <c r="N10" s="74" t="s">
        <v>5</v>
      </c>
      <c r="O10" s="74" t="s">
        <v>6</v>
      </c>
      <c r="P10" s="74" t="s">
        <v>7</v>
      </c>
      <c r="Q10" s="74" t="s">
        <v>11</v>
      </c>
      <c r="R10" s="74" t="s">
        <v>8</v>
      </c>
      <c r="S10" s="74" t="s">
        <v>9</v>
      </c>
      <c r="T10" s="75" t="s">
        <v>10</v>
      </c>
      <c r="U10" s="71">
        <v>1</v>
      </c>
      <c r="V10" s="63" t="s">
        <v>24</v>
      </c>
      <c r="W10" s="64" t="s">
        <v>24</v>
      </c>
      <c r="X10" s="62"/>
    </row>
    <row r="11" spans="8:24" x14ac:dyDescent="0.3">
      <c r="I11" s="65">
        <v>4</v>
      </c>
      <c r="J11" s="82">
        <v>1</v>
      </c>
      <c r="K11" s="2">
        <v>5</v>
      </c>
      <c r="L11" s="2">
        <v>8</v>
      </c>
      <c r="M11" s="81">
        <v>16</v>
      </c>
      <c r="N11" s="2">
        <v>8</v>
      </c>
      <c r="O11" s="2">
        <v>10</v>
      </c>
      <c r="P11" s="2">
        <v>6</v>
      </c>
      <c r="Q11" s="2">
        <v>11</v>
      </c>
      <c r="R11" s="81">
        <v>14</v>
      </c>
      <c r="S11" s="81">
        <v>12</v>
      </c>
      <c r="T11" s="66">
        <v>5</v>
      </c>
      <c r="U11" s="72">
        <f>SUM(I11:T11)</f>
        <v>100</v>
      </c>
      <c r="V11" s="65" t="s">
        <v>29</v>
      </c>
      <c r="W11" s="66" t="s">
        <v>30</v>
      </c>
      <c r="X11" s="39"/>
    </row>
    <row r="12" spans="8:24" x14ac:dyDescent="0.3">
      <c r="H12" s="13" t="s">
        <v>18</v>
      </c>
      <c r="I12" s="65">
        <v>2</v>
      </c>
      <c r="J12" s="2"/>
      <c r="K12" s="2">
        <v>3</v>
      </c>
      <c r="L12" s="2"/>
      <c r="M12" s="2">
        <v>4</v>
      </c>
      <c r="N12" s="2"/>
      <c r="O12" s="2">
        <v>5</v>
      </c>
      <c r="P12" s="2">
        <v>4</v>
      </c>
      <c r="Q12" s="2"/>
      <c r="R12" s="2"/>
      <c r="S12" s="2">
        <v>10</v>
      </c>
      <c r="T12" s="66"/>
      <c r="U12" s="72">
        <f>SUM(I12:T12)</f>
        <v>28</v>
      </c>
      <c r="V12" s="67">
        <v>0.2</v>
      </c>
      <c r="W12" s="68">
        <v>0.8</v>
      </c>
      <c r="X12" s="39"/>
    </row>
    <row r="13" spans="8:24" x14ac:dyDescent="0.3">
      <c r="H13" s="13" t="s">
        <v>22</v>
      </c>
      <c r="I13" s="65">
        <v>1</v>
      </c>
      <c r="J13" s="1"/>
      <c r="K13" s="2">
        <v>2</v>
      </c>
      <c r="L13" s="2">
        <v>3</v>
      </c>
      <c r="M13" s="2">
        <v>4</v>
      </c>
      <c r="N13" s="2">
        <v>2</v>
      </c>
      <c r="O13" s="2">
        <v>1</v>
      </c>
      <c r="P13" s="2">
        <v>1</v>
      </c>
      <c r="Q13" s="2">
        <v>3</v>
      </c>
      <c r="R13" s="2">
        <v>5</v>
      </c>
      <c r="S13" s="1"/>
      <c r="T13" s="76"/>
      <c r="U13" s="72">
        <f>SUM(I13:T13)</f>
        <v>22</v>
      </c>
      <c r="V13" s="67">
        <v>0.3</v>
      </c>
      <c r="W13" s="68">
        <v>0.15</v>
      </c>
      <c r="X13" s="39"/>
    </row>
    <row r="14" spans="8:24" ht="15" thickBot="1" x14ac:dyDescent="0.35">
      <c r="H14" s="13" t="s">
        <v>23</v>
      </c>
      <c r="I14" s="77">
        <v>1</v>
      </c>
      <c r="J14" s="78">
        <v>1</v>
      </c>
      <c r="K14" s="79"/>
      <c r="L14" s="78">
        <v>5</v>
      </c>
      <c r="M14" s="78">
        <v>8</v>
      </c>
      <c r="N14" s="78">
        <v>6</v>
      </c>
      <c r="O14" s="78">
        <v>4</v>
      </c>
      <c r="P14" s="78">
        <v>1</v>
      </c>
      <c r="Q14" s="78">
        <v>8</v>
      </c>
      <c r="R14" s="78">
        <v>9</v>
      </c>
      <c r="S14" s="78">
        <v>2</v>
      </c>
      <c r="T14" s="80">
        <v>5</v>
      </c>
      <c r="U14" s="72">
        <f>SUM(I14:T14)</f>
        <v>50</v>
      </c>
      <c r="V14" s="69">
        <v>0.5</v>
      </c>
      <c r="W14" s="70">
        <v>0.05</v>
      </c>
      <c r="X14" s="39"/>
    </row>
    <row r="15" spans="8:24" x14ac:dyDescent="0.3">
      <c r="U15" s="14"/>
      <c r="X15" s="40"/>
    </row>
    <row r="18" spans="1:25" ht="15" thickBot="1" x14ac:dyDescent="0.35">
      <c r="A18" t="s">
        <v>24</v>
      </c>
      <c r="Y18" s="61"/>
    </row>
    <row r="19" spans="1:25" x14ac:dyDescent="0.3">
      <c r="J19" s="20" t="s">
        <v>31</v>
      </c>
      <c r="K19" s="17"/>
      <c r="L19" s="17"/>
      <c r="M19" s="5"/>
    </row>
    <row r="20" spans="1:25" x14ac:dyDescent="0.3">
      <c r="J20" s="6" t="s">
        <v>30</v>
      </c>
      <c r="K20" s="58">
        <v>0.8</v>
      </c>
      <c r="L20" s="58">
        <v>0.15</v>
      </c>
      <c r="M20" s="59">
        <v>0.05</v>
      </c>
    </row>
    <row r="21" spans="1:25" x14ac:dyDescent="0.3">
      <c r="J21" s="6" t="s">
        <v>29</v>
      </c>
      <c r="K21" s="58">
        <v>0.2</v>
      </c>
      <c r="L21" s="58">
        <v>0.3</v>
      </c>
      <c r="M21" s="59">
        <v>0.5</v>
      </c>
    </row>
    <row r="22" spans="1:25" ht="15" thickBot="1" x14ac:dyDescent="0.35">
      <c r="J22" s="8" t="s">
        <v>25</v>
      </c>
      <c r="K22" s="18" t="s">
        <v>26</v>
      </c>
      <c r="L22" s="18" t="s">
        <v>27</v>
      </c>
      <c r="M22" s="19" t="s">
        <v>28</v>
      </c>
    </row>
    <row r="27" spans="1:25" x14ac:dyDescent="0.3">
      <c r="J27" s="15">
        <v>0.8</v>
      </c>
      <c r="K27" t="s">
        <v>32</v>
      </c>
    </row>
    <row r="28" spans="1:25" x14ac:dyDescent="0.3">
      <c r="J28">
        <v>28</v>
      </c>
      <c r="K28" t="s">
        <v>34</v>
      </c>
    </row>
    <row r="29" spans="1:25" x14ac:dyDescent="0.3">
      <c r="B29" t="s">
        <v>16</v>
      </c>
      <c r="J29" s="15">
        <v>0.22</v>
      </c>
      <c r="K29" t="s">
        <v>33</v>
      </c>
    </row>
    <row r="30" spans="1:25" x14ac:dyDescent="0.3">
      <c r="B30" t="s">
        <v>15</v>
      </c>
      <c r="J30" s="15">
        <f>J31-J29</f>
        <v>0.78</v>
      </c>
      <c r="K30" t="s">
        <v>35</v>
      </c>
    </row>
    <row r="31" spans="1:25" x14ac:dyDescent="0.3">
      <c r="B31" t="s">
        <v>12</v>
      </c>
      <c r="J31" s="15">
        <v>1</v>
      </c>
      <c r="K31" t="s">
        <v>33</v>
      </c>
    </row>
    <row r="32" spans="1:25" x14ac:dyDescent="0.3">
      <c r="B32" t="s">
        <v>13</v>
      </c>
    </row>
    <row r="36" spans="3:16" x14ac:dyDescent="0.3">
      <c r="P36" t="s">
        <v>65</v>
      </c>
    </row>
    <row r="38" spans="3:16" x14ac:dyDescent="0.3">
      <c r="P38" t="s">
        <v>61</v>
      </c>
    </row>
    <row r="39" spans="3:16" x14ac:dyDescent="0.3">
      <c r="P39" t="s">
        <v>60</v>
      </c>
    </row>
    <row r="40" spans="3:16" x14ac:dyDescent="0.3">
      <c r="P40" t="s">
        <v>62</v>
      </c>
    </row>
    <row r="42" spans="3:16" x14ac:dyDescent="0.3">
      <c r="C42" s="15"/>
    </row>
    <row r="44" spans="3:16" x14ac:dyDescent="0.3">
      <c r="H44" s="16"/>
    </row>
    <row r="45" spans="3:16" x14ac:dyDescent="0.3">
      <c r="H45" s="15"/>
    </row>
    <row r="52" spans="13:13" x14ac:dyDescent="0.3">
      <c r="M52" t="s">
        <v>17</v>
      </c>
    </row>
  </sheetData>
  <mergeCells count="2">
    <mergeCell ref="I9:U9"/>
    <mergeCell ref="K2:M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769A-9CE4-4EAF-B9EE-B7D617EE65B2}">
  <dimension ref="B5:P36"/>
  <sheetViews>
    <sheetView topLeftCell="B1" workbookViewId="0">
      <selection activeCell="S32" sqref="S32"/>
    </sheetView>
  </sheetViews>
  <sheetFormatPr baseColWidth="10" defaultRowHeight="14.4" x14ac:dyDescent="0.3"/>
  <cols>
    <col min="3" max="3" width="10.5546875" hidden="1" customWidth="1"/>
    <col min="12" max="12" width="15.21875" customWidth="1"/>
  </cols>
  <sheetData>
    <row r="5" spans="2:16" ht="15" thickBot="1" x14ac:dyDescent="0.35">
      <c r="D5" s="14">
        <v>1</v>
      </c>
      <c r="E5" s="14">
        <f>D5+1</f>
        <v>2</v>
      </c>
      <c r="F5" s="14">
        <f t="shared" ref="F5:O5" si="0">E5+1</f>
        <v>3</v>
      </c>
      <c r="G5" s="14">
        <f t="shared" si="0"/>
        <v>4</v>
      </c>
      <c r="H5" s="14">
        <f t="shared" si="0"/>
        <v>5</v>
      </c>
      <c r="I5" s="14">
        <f t="shared" si="0"/>
        <v>6</v>
      </c>
      <c r="J5" s="14">
        <f t="shared" si="0"/>
        <v>7</v>
      </c>
      <c r="K5" s="14">
        <f t="shared" si="0"/>
        <v>8</v>
      </c>
      <c r="L5" s="14">
        <f t="shared" si="0"/>
        <v>9</v>
      </c>
      <c r="M5" s="14">
        <f t="shared" si="0"/>
        <v>10</v>
      </c>
      <c r="N5" s="14">
        <f t="shared" si="0"/>
        <v>11</v>
      </c>
      <c r="O5" s="14">
        <f t="shared" si="0"/>
        <v>12</v>
      </c>
    </row>
    <row r="6" spans="2:16" ht="15" thickBot="1" x14ac:dyDescent="0.35">
      <c r="D6" s="21" t="s">
        <v>37</v>
      </c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3"/>
    </row>
    <row r="7" spans="2:16" ht="15" thickBot="1" x14ac:dyDescent="0.35">
      <c r="D7" s="73" t="s">
        <v>0</v>
      </c>
      <c r="E7" s="74" t="s">
        <v>1</v>
      </c>
      <c r="F7" s="74" t="s">
        <v>2</v>
      </c>
      <c r="G7" s="74" t="s">
        <v>3</v>
      </c>
      <c r="H7" s="74" t="s">
        <v>4</v>
      </c>
      <c r="I7" s="74" t="s">
        <v>5</v>
      </c>
      <c r="J7" s="74" t="s">
        <v>6</v>
      </c>
      <c r="K7" s="74" t="s">
        <v>7</v>
      </c>
      <c r="L7" s="74" t="s">
        <v>11</v>
      </c>
      <c r="M7" s="74" t="s">
        <v>8</v>
      </c>
      <c r="N7" s="74" t="s">
        <v>9</v>
      </c>
      <c r="O7" s="75" t="s">
        <v>10</v>
      </c>
      <c r="P7" s="86">
        <v>1</v>
      </c>
    </row>
    <row r="8" spans="2:16" ht="15" hidden="1" thickBot="1" x14ac:dyDescent="0.35">
      <c r="D8" s="65">
        <v>4</v>
      </c>
      <c r="E8" s="2">
        <v>1</v>
      </c>
      <c r="F8" s="2">
        <v>5</v>
      </c>
      <c r="G8" s="2">
        <v>8</v>
      </c>
      <c r="H8" s="2">
        <v>16</v>
      </c>
      <c r="I8" s="2">
        <v>8</v>
      </c>
      <c r="J8" s="2">
        <v>10</v>
      </c>
      <c r="K8" s="2">
        <v>6</v>
      </c>
      <c r="L8" s="2">
        <v>11</v>
      </c>
      <c r="M8" s="2">
        <v>14</v>
      </c>
      <c r="N8" s="2">
        <v>12</v>
      </c>
      <c r="O8" s="66">
        <v>5</v>
      </c>
      <c r="P8" s="87">
        <f>SUM(D8:O8)</f>
        <v>100</v>
      </c>
    </row>
    <row r="9" spans="2:16" x14ac:dyDescent="0.3">
      <c r="B9" s="13" t="s">
        <v>18</v>
      </c>
      <c r="C9" s="83">
        <v>98254</v>
      </c>
      <c r="D9" s="90">
        <f>2*C9</f>
        <v>196508</v>
      </c>
      <c r="E9" s="49"/>
      <c r="F9" s="48">
        <f>3*C9</f>
        <v>294762</v>
      </c>
      <c r="G9" s="49"/>
      <c r="H9" s="48">
        <f>4*C9</f>
        <v>393016</v>
      </c>
      <c r="I9" s="49"/>
      <c r="J9" s="48">
        <f>5*C9</f>
        <v>491270</v>
      </c>
      <c r="K9" s="48">
        <f>4*C9</f>
        <v>393016</v>
      </c>
      <c r="L9" s="49"/>
      <c r="M9" s="49"/>
      <c r="N9" s="48">
        <f>10*C9</f>
        <v>982540</v>
      </c>
      <c r="O9" s="91"/>
      <c r="P9" s="88">
        <f>SUM(D9:O9)</f>
        <v>2751112</v>
      </c>
    </row>
    <row r="10" spans="2:16" x14ac:dyDescent="0.3">
      <c r="B10" s="13" t="s">
        <v>22</v>
      </c>
      <c r="C10" s="84">
        <v>52000</v>
      </c>
      <c r="D10" s="90">
        <f>C10</f>
        <v>52000</v>
      </c>
      <c r="E10" s="34"/>
      <c r="F10" s="48">
        <f>2*C10</f>
        <v>104000</v>
      </c>
      <c r="G10" s="48">
        <f>3*C10</f>
        <v>156000</v>
      </c>
      <c r="H10" s="48">
        <f>4*C10</f>
        <v>208000</v>
      </c>
      <c r="I10" s="48">
        <f>2*C10</f>
        <v>104000</v>
      </c>
      <c r="J10" s="48">
        <f>C10</f>
        <v>52000</v>
      </c>
      <c r="K10" s="48">
        <f>C10</f>
        <v>52000</v>
      </c>
      <c r="L10" s="48">
        <f>3*C10</f>
        <v>156000</v>
      </c>
      <c r="M10" s="48">
        <f>5*C10</f>
        <v>260000</v>
      </c>
      <c r="N10" s="34"/>
      <c r="O10" s="92"/>
      <c r="P10" s="88">
        <f>SUM(D10:O10)</f>
        <v>1144000</v>
      </c>
    </row>
    <row r="11" spans="2:16" ht="15" thickBot="1" x14ac:dyDescent="0.35">
      <c r="B11" s="13" t="s">
        <v>23</v>
      </c>
      <c r="C11" s="85">
        <v>22100</v>
      </c>
      <c r="D11" s="93">
        <f>C11</f>
        <v>22100</v>
      </c>
      <c r="E11" s="94">
        <f>C11</f>
        <v>22100</v>
      </c>
      <c r="F11" s="95"/>
      <c r="G11" s="94">
        <f>5*C11</f>
        <v>110500</v>
      </c>
      <c r="H11" s="94">
        <f>8*C11</f>
        <v>176800</v>
      </c>
      <c r="I11" s="94">
        <f>6*C11</f>
        <v>132600</v>
      </c>
      <c r="J11" s="94">
        <f>4*C11</f>
        <v>88400</v>
      </c>
      <c r="K11" s="94">
        <f>C11</f>
        <v>22100</v>
      </c>
      <c r="L11" s="94">
        <f>8*C11</f>
        <v>176800</v>
      </c>
      <c r="M11" s="94">
        <f>9*C11</f>
        <v>198900</v>
      </c>
      <c r="N11" s="94">
        <f>2*C11</f>
        <v>44200</v>
      </c>
      <c r="O11" s="96">
        <f>5*C11</f>
        <v>110500</v>
      </c>
      <c r="P11" s="89">
        <f>SUM(D11:O11)</f>
        <v>1105000</v>
      </c>
    </row>
    <row r="12" spans="2:16" ht="15" thickBot="1" x14ac:dyDescent="0.35">
      <c r="D12" s="24">
        <f>SUM(D9:D11)</f>
        <v>270608</v>
      </c>
      <c r="E12" s="36">
        <f>SUM(E9:E11)</f>
        <v>22100</v>
      </c>
      <c r="F12" s="25">
        <f t="shared" ref="F12:O12" si="1">SUM(F9:F11)</f>
        <v>398762</v>
      </c>
      <c r="G12" s="25">
        <f t="shared" si="1"/>
        <v>266500</v>
      </c>
      <c r="H12" s="44">
        <f t="shared" si="1"/>
        <v>777816</v>
      </c>
      <c r="I12" s="25">
        <f t="shared" si="1"/>
        <v>236600</v>
      </c>
      <c r="J12" s="37">
        <f t="shared" si="1"/>
        <v>631670</v>
      </c>
      <c r="K12" s="25">
        <f t="shared" si="1"/>
        <v>467116</v>
      </c>
      <c r="L12" s="25">
        <f t="shared" si="1"/>
        <v>332800</v>
      </c>
      <c r="M12" s="25">
        <f t="shared" si="1"/>
        <v>458900</v>
      </c>
      <c r="N12" s="37">
        <f t="shared" si="1"/>
        <v>1026740</v>
      </c>
      <c r="O12" s="25">
        <f t="shared" si="1"/>
        <v>110500</v>
      </c>
      <c r="P12" s="26">
        <f>SUM(P9:P11)</f>
        <v>5000112</v>
      </c>
    </row>
    <row r="15" spans="2:16" s="27" customFormat="1" ht="43.2" customHeight="1" x14ac:dyDescent="0.3">
      <c r="C15" s="38" t="s">
        <v>38</v>
      </c>
      <c r="D15" s="38" t="s">
        <v>39</v>
      </c>
      <c r="E15" s="50" t="s">
        <v>40</v>
      </c>
      <c r="F15" s="55" t="s">
        <v>52</v>
      </c>
    </row>
    <row r="16" spans="2:16" x14ac:dyDescent="0.3">
      <c r="B16" s="31" t="s">
        <v>18</v>
      </c>
      <c r="C16" s="34">
        <v>28</v>
      </c>
      <c r="D16" s="35">
        <v>98254</v>
      </c>
      <c r="E16" s="51">
        <f>D16*C16</f>
        <v>2751112</v>
      </c>
      <c r="F16" s="52" t="s">
        <v>51</v>
      </c>
    </row>
    <row r="17" spans="2:8" x14ac:dyDescent="0.3">
      <c r="B17" s="32" t="s">
        <v>22</v>
      </c>
      <c r="C17" s="34">
        <v>22</v>
      </c>
      <c r="D17" s="35">
        <v>52000</v>
      </c>
      <c r="E17" s="51">
        <f t="shared" ref="E17:E18" si="2">D17*C17</f>
        <v>1144000</v>
      </c>
      <c r="F17" s="53" t="s">
        <v>50</v>
      </c>
    </row>
    <row r="18" spans="2:8" x14ac:dyDescent="0.3">
      <c r="B18" s="33" t="s">
        <v>23</v>
      </c>
      <c r="C18" s="34">
        <v>50</v>
      </c>
      <c r="D18" s="35">
        <v>22100</v>
      </c>
      <c r="E18" s="51">
        <f t="shared" si="2"/>
        <v>1105000</v>
      </c>
      <c r="F18" s="54" t="s">
        <v>53</v>
      </c>
    </row>
    <row r="19" spans="2:8" x14ac:dyDescent="0.3">
      <c r="E19" s="42">
        <f>SUM(E16:E18)</f>
        <v>5000112</v>
      </c>
    </row>
    <row r="32" spans="2:8" x14ac:dyDescent="0.3">
      <c r="C32" s="61" t="s">
        <v>55</v>
      </c>
      <c r="H32" s="61" t="s">
        <v>56</v>
      </c>
    </row>
    <row r="34" spans="3:12" x14ac:dyDescent="0.3">
      <c r="C34" t="s">
        <v>41</v>
      </c>
      <c r="H34" t="s">
        <v>44</v>
      </c>
      <c r="K34" s="43">
        <v>11</v>
      </c>
      <c r="L34" s="97" t="s">
        <v>63</v>
      </c>
    </row>
    <row r="35" spans="3:12" x14ac:dyDescent="0.3">
      <c r="C35" t="s">
        <v>42</v>
      </c>
      <c r="H35" t="s">
        <v>45</v>
      </c>
      <c r="K35" s="43">
        <v>2</v>
      </c>
    </row>
    <row r="36" spans="3:12" x14ac:dyDescent="0.3">
      <c r="C36" t="s">
        <v>43</v>
      </c>
      <c r="H36" t="s">
        <v>46</v>
      </c>
      <c r="K36" s="43" t="s">
        <v>54</v>
      </c>
      <c r="L36" s="97" t="s">
        <v>64</v>
      </c>
    </row>
  </sheetData>
  <mergeCells count="1">
    <mergeCell ref="D6:P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FBFEA-226E-40F4-AFC5-9CE65983B77C}">
  <dimension ref="D3:S25"/>
  <sheetViews>
    <sheetView topLeftCell="B1" workbookViewId="0">
      <selection activeCell="T14" sqref="T14"/>
    </sheetView>
  </sheetViews>
  <sheetFormatPr baseColWidth="10" defaultRowHeight="14.4" x14ac:dyDescent="0.3"/>
  <cols>
    <col min="5" max="5" width="7.88671875" customWidth="1"/>
    <col min="13" max="13" width="15.109375" customWidth="1"/>
    <col min="14" max="14" width="12.88671875" customWidth="1"/>
    <col min="15" max="15" width="8.6640625" customWidth="1"/>
  </cols>
  <sheetData>
    <row r="3" spans="12:19" x14ac:dyDescent="0.3">
      <c r="L3" s="40"/>
      <c r="M3" s="40"/>
      <c r="N3" s="40"/>
      <c r="O3" s="40"/>
      <c r="P3" s="40"/>
      <c r="Q3" s="40"/>
      <c r="R3" s="40"/>
    </row>
    <row r="4" spans="12:19" x14ac:dyDescent="0.3">
      <c r="L4" s="40"/>
      <c r="M4" s="41"/>
      <c r="N4" s="41"/>
      <c r="O4" s="41"/>
      <c r="P4" s="41"/>
      <c r="Q4" s="40"/>
      <c r="R4" s="40"/>
    </row>
    <row r="5" spans="12:19" x14ac:dyDescent="0.3">
      <c r="L5" s="40"/>
      <c r="M5" s="40"/>
      <c r="N5" s="40"/>
      <c r="O5" s="40"/>
      <c r="P5" s="40"/>
      <c r="Q5" s="40"/>
      <c r="R5" s="40"/>
    </row>
    <row r="8" spans="12:19" ht="15" thickBot="1" x14ac:dyDescent="0.35">
      <c r="N8" t="s">
        <v>40</v>
      </c>
      <c r="O8" t="s">
        <v>47</v>
      </c>
      <c r="P8" t="s">
        <v>49</v>
      </c>
      <c r="R8" s="1" t="s">
        <v>36</v>
      </c>
      <c r="S8" s="1"/>
    </row>
    <row r="9" spans="12:19" x14ac:dyDescent="0.3">
      <c r="M9" s="4" t="s">
        <v>18</v>
      </c>
      <c r="N9" s="17">
        <v>28</v>
      </c>
      <c r="O9" s="45">
        <v>28</v>
      </c>
      <c r="P9" s="28">
        <v>98254</v>
      </c>
      <c r="R9" s="2" t="s">
        <v>29</v>
      </c>
      <c r="S9" s="1" t="s">
        <v>30</v>
      </c>
    </row>
    <row r="10" spans="12:19" x14ac:dyDescent="0.3">
      <c r="M10" s="6" t="s">
        <v>19</v>
      </c>
      <c r="N10" s="40">
        <f>N16*R11</f>
        <v>21.599999999999998</v>
      </c>
      <c r="O10" s="46">
        <v>22</v>
      </c>
      <c r="P10" s="29">
        <v>52000</v>
      </c>
      <c r="R10" s="56">
        <v>0.2</v>
      </c>
      <c r="S10" s="57">
        <v>0.8</v>
      </c>
    </row>
    <row r="11" spans="12:19" ht="15" thickBot="1" x14ac:dyDescent="0.35">
      <c r="M11" s="8" t="s">
        <v>20</v>
      </c>
      <c r="N11" s="60">
        <f>(O12-(N10+N9))</f>
        <v>50.400000000000006</v>
      </c>
      <c r="O11" s="47">
        <v>50</v>
      </c>
      <c r="P11" s="30">
        <v>22100</v>
      </c>
      <c r="R11" s="56">
        <v>0.3</v>
      </c>
      <c r="S11" s="57">
        <v>0.15</v>
      </c>
    </row>
    <row r="12" spans="12:19" x14ac:dyDescent="0.3">
      <c r="M12" s="39" t="s">
        <v>48</v>
      </c>
      <c r="N12" s="39">
        <f>SUM(N9:N11)</f>
        <v>100</v>
      </c>
      <c r="O12">
        <v>100</v>
      </c>
      <c r="R12" s="56">
        <v>0.5</v>
      </c>
      <c r="S12" s="57">
        <v>0.05</v>
      </c>
    </row>
    <row r="14" spans="12:19" x14ac:dyDescent="0.3">
      <c r="M14" t="s">
        <v>57</v>
      </c>
      <c r="N14">
        <v>100</v>
      </c>
      <c r="O14" t="s">
        <v>58</v>
      </c>
    </row>
    <row r="15" spans="12:19" x14ac:dyDescent="0.3">
      <c r="M15" t="s">
        <v>18</v>
      </c>
      <c r="N15">
        <v>28</v>
      </c>
      <c r="O15" t="s">
        <v>58</v>
      </c>
    </row>
    <row r="16" spans="12:19" x14ac:dyDescent="0.3">
      <c r="M16" t="s">
        <v>59</v>
      </c>
      <c r="N16">
        <f>N14-N15</f>
        <v>72</v>
      </c>
    </row>
    <row r="23" spans="4:16" x14ac:dyDescent="0.3">
      <c r="D23" t="s">
        <v>18</v>
      </c>
    </row>
    <row r="24" spans="4:16" x14ac:dyDescent="0.3">
      <c r="D24" s="2" t="s">
        <v>0</v>
      </c>
      <c r="E24" s="2" t="s">
        <v>1</v>
      </c>
      <c r="F24" s="2" t="s">
        <v>2</v>
      </c>
      <c r="G24" s="2" t="s">
        <v>3</v>
      </c>
      <c r="H24" s="2" t="s">
        <v>4</v>
      </c>
      <c r="I24" s="2" t="s">
        <v>5</v>
      </c>
      <c r="J24" s="2" t="s">
        <v>6</v>
      </c>
      <c r="K24" s="2" t="s">
        <v>7</v>
      </c>
      <c r="L24" s="2" t="s">
        <v>11</v>
      </c>
      <c r="M24" s="2" t="s">
        <v>8</v>
      </c>
      <c r="N24" s="2" t="s">
        <v>9</v>
      </c>
      <c r="O24" s="2" t="s">
        <v>10</v>
      </c>
      <c r="P24" s="56">
        <v>1</v>
      </c>
    </row>
    <row r="25" spans="4:16" x14ac:dyDescent="0.3">
      <c r="D25" s="2">
        <v>2</v>
      </c>
      <c r="E25" s="2"/>
      <c r="F25" s="2">
        <v>3</v>
      </c>
      <c r="G25" s="2"/>
      <c r="H25" s="2">
        <v>4</v>
      </c>
      <c r="I25" s="2"/>
      <c r="J25" s="2">
        <v>5</v>
      </c>
      <c r="K25" s="2">
        <v>4</v>
      </c>
      <c r="L25" s="2"/>
      <c r="M25" s="2"/>
      <c r="N25" s="2">
        <v>10</v>
      </c>
      <c r="O25" s="2"/>
      <c r="P25" s="3">
        <f>SUM(D25:O25)</f>
        <v>28</v>
      </c>
    </row>
  </sheetData>
  <mergeCells count="1">
    <mergeCell ref="M4:P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MATRIZ</vt:lpstr>
      <vt:lpstr>VENTAS TOTALES</vt:lpstr>
      <vt:lpstr>TABLA DE CALCULO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ALEXANDRA/PATRICIA ALARCÓN VÁSQUEZ</dc:creator>
  <cp:lastModifiedBy>Janvera Videla</cp:lastModifiedBy>
  <dcterms:created xsi:type="dcterms:W3CDTF">2023-11-24T21:02:22Z</dcterms:created>
  <dcterms:modified xsi:type="dcterms:W3CDTF">2023-11-25T15:48:30Z</dcterms:modified>
</cp:coreProperties>
</file>