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asti\Downloads\"/>
    </mc:Choice>
  </mc:AlternateContent>
  <xr:revisionPtr revIDLastSave="0" documentId="13_ncr:1_{BA03E3B1-07A7-4644-93E2-6A0152E7D17B}" xr6:coauthVersionLast="47" xr6:coauthVersionMax="47" xr10:uidLastSave="{00000000-0000-0000-0000-000000000000}"/>
  <bookViews>
    <workbookView xWindow="-108" yWindow="-108" windowWidth="23256" windowHeight="12456" xr2:uid="{9CE7EC91-B386-4D95-8A19-2DEE8C2DDC26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</calcChain>
</file>

<file path=xl/sharedStrings.xml><?xml version="1.0" encoding="utf-8"?>
<sst xmlns="http://schemas.openxmlformats.org/spreadsheetml/2006/main" count="41" uniqueCount="34">
  <si>
    <t>CODIGO</t>
  </si>
  <si>
    <t>PRODUCTO</t>
  </si>
  <si>
    <t>DESCRIPCION</t>
  </si>
  <si>
    <t>MARCA</t>
  </si>
  <si>
    <t>STOCK INICIAL</t>
  </si>
  <si>
    <t>ENTRADAS</t>
  </si>
  <si>
    <t>SALIDAS</t>
  </si>
  <si>
    <t>PX001</t>
  </si>
  <si>
    <t>Papel bondi</t>
  </si>
  <si>
    <t>PX002</t>
  </si>
  <si>
    <t>Papel Vegetal</t>
  </si>
  <si>
    <t>PX003</t>
  </si>
  <si>
    <t>Papel Colores</t>
  </si>
  <si>
    <t>PX004</t>
  </si>
  <si>
    <t>Papel Opalina</t>
  </si>
  <si>
    <t>PX005</t>
  </si>
  <si>
    <t>Papel Satinado</t>
  </si>
  <si>
    <t>PX006</t>
  </si>
  <si>
    <t>Calculadora sencilla</t>
  </si>
  <si>
    <t>PX007</t>
  </si>
  <si>
    <t>Calculadora Infantil</t>
  </si>
  <si>
    <t>PX008</t>
  </si>
  <si>
    <t>Calculadora Profesional</t>
  </si>
  <si>
    <t>PX009</t>
  </si>
  <si>
    <t>Calculadora Especial</t>
  </si>
  <si>
    <t>PX010</t>
  </si>
  <si>
    <t>Lapiz Negro</t>
  </si>
  <si>
    <t>Stock Total</t>
  </si>
  <si>
    <t>FACTURA</t>
  </si>
  <si>
    <t>FECHA</t>
  </si>
  <si>
    <t>CANTIDAD</t>
  </si>
  <si>
    <t>SALIDA</t>
  </si>
  <si>
    <t>ENTRADA</t>
  </si>
  <si>
    <t>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</si>
</sst>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3" xfId="0" applyFont="1" applyFill="1" applyBorder="1"/>
    <xf numFmtId="0" fontId="2" fillId="0" borderId="3" xfId="0" applyFont="1" applyBorder="1"/>
    <xf numFmtId="0" fontId="3" fillId="0" borderId="3" xfId="0" applyFon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7" xfId="0" applyFill="1" applyBorder="1"/>
    <xf numFmtId="15" fontId="0" fillId="4" borderId="3" xfId="0" applyNumberFormat="1" applyFill="1" applyBorder="1"/>
    <xf numFmtId="0" fontId="0" fillId="4" borderId="3" xfId="0" applyFill="1" applyBorder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</cellXfs>
  <cellStyles count="1">
    <cellStyle name="Normal" xfId="0" builtinId="0"/>
  </cellStyles>
  <dxfs count="20"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31ca9ec15e641f1/Escritorio/CARPETAS%20ALUMNOS%20ASIST.%20LOG.%20OPERATIVA/JORGE%20VERA%20VIDELA/INVENTARIO%20JORGE%20VERA%2021-09-2023.xlsx" TargetMode="External"/><Relationship Id="rId1" Type="http://schemas.openxmlformats.org/officeDocument/2006/relationships/externalLinkPath" Target="https://d.docs.live.net/231ca9ec15e641f1/Escritorio/CARPETAS%20ALUMNOS%20ASIST.%20LOG.%20OPERATIVA/JORGE%20VERA%20VIDELA/INVENTARIO%20JORGE%20VERA%2021-09-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ventario"/>
      <sheetName val="Entrada"/>
      <sheetName val="Salida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81B16D-DD2D-49B7-AA7B-AAFD27510D83}" name="ENTRADAS" displayName="ENTRADAS" ref="B4:F14" totalsRowShown="0" headerRowDxfId="19" dataDxfId="10" headerRowBorderDxfId="17" tableBorderDxfId="18" totalsRowBorderDxfId="16">
  <autoFilter ref="B4:F14" xr:uid="{BD81B16D-DD2D-49B7-AA7B-AAFD27510D83}"/>
  <tableColumns count="5">
    <tableColumn id="1" xr3:uid="{A0F0060F-224F-425C-92CF-56A89EDDAA19}" name="FACTURA" dataDxfId="15"/>
    <tableColumn id="2" xr3:uid="{D7134331-2BCD-484F-A291-98AFE9A14AFB}" name="FECHA" dataDxfId="14"/>
    <tableColumn id="3" xr3:uid="{4C235013-393B-4726-B4B2-9234639E67F2}" name="CODIGO" dataDxfId="13"/>
    <tableColumn id="4" xr3:uid="{E4D8AECA-B88F-4EEC-A697-DC87331DF515}" name="PRODUCTO" dataDxfId="12"/>
    <tableColumn id="5" xr3:uid="{C38FE8D0-FEED-4501-9C75-6AD7DA36DE82}" name="CANTIDAD" dataDxfId="11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TABLA-2" altTextSummary="ENTRADA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FD2394-BA03-4937-9243-EB18E0AE6CCD}" name="ENTRADAS4" displayName="ENTRADAS4" ref="B4:F14" totalsRowShown="0" headerRowDxfId="9" dataDxfId="8" headerRowBorderDxfId="6" tableBorderDxfId="7" totalsRowBorderDxfId="5">
  <autoFilter ref="B4:F14" xr:uid="{07FD2394-BA03-4937-9243-EB18E0AE6CCD}"/>
  <tableColumns count="5">
    <tableColumn id="1" xr3:uid="{54B5C404-E2FC-4AD0-8AEE-A163422BC59E}" name="FACTURA" dataDxfId="4"/>
    <tableColumn id="2" xr3:uid="{260AF2CB-C94B-4815-8350-2070FA85DC51}" name="FECHA" dataDxfId="3"/>
    <tableColumn id="3" xr3:uid="{AFBA5E23-7421-4632-81E3-770A3729CCBA}" name="CODIGO" dataDxfId="2"/>
    <tableColumn id="4" xr3:uid="{D898E818-8555-4360-BA0D-13B8902B5977}" name="PRODUCTO" dataDxfId="1"/>
    <tableColumn id="5" xr3:uid="{238E1F26-3039-4DE1-A2E7-11EAD37925BD}" name="CANTIDAD" dataDxfId="0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TABLA-2" altTextSummary="ENTRADAS"/>
    </ext>
  </extLst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4976-33BE-4A1B-8E3A-61E32439F364}">
  <dimension ref="B2:I15"/>
  <sheetViews>
    <sheetView tabSelected="1" workbookViewId="0">
      <selection activeCell="E22" sqref="E22"/>
    </sheetView>
  </sheetViews>
  <sheetFormatPr baseColWidth="10" defaultRowHeight="14.4" x14ac:dyDescent="0.3"/>
  <cols>
    <col min="3" max="3" width="22.21875" customWidth="1"/>
    <col min="4" max="4" width="15.88671875" customWidth="1"/>
    <col min="6" max="6" width="17.5546875" customWidth="1"/>
    <col min="8" max="8" width="14.44140625" customWidth="1"/>
  </cols>
  <sheetData>
    <row r="2" spans="2:9" x14ac:dyDescent="0.3">
      <c r="B2" t="s">
        <v>33</v>
      </c>
    </row>
    <row r="5" spans="2:9" x14ac:dyDescent="0.3">
      <c r="B5" s="1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27</v>
      </c>
    </row>
    <row r="6" spans="2:9" x14ac:dyDescent="0.3">
      <c r="B6" s="3" t="s">
        <v>7</v>
      </c>
      <c r="C6" s="3" t="s">
        <v>8</v>
      </c>
      <c r="D6" s="3"/>
      <c r="E6" s="3"/>
      <c r="F6" s="3">
        <v>100</v>
      </c>
      <c r="G6" s="3">
        <f>SUMIF([1]!ENTRADAS[CODIGO],[1]!INVENTARIO[[#This Row],[CODIGO]],[1]!ENTRADAS[CANTIDAD])</f>
        <v>50</v>
      </c>
      <c r="H6" s="3">
        <f>SUMIF([1]!SALIDAS[CODIGO],[1]!INVENTARIO[[#This Row],[CODIGO]],[1]!SALIDAS[CANTIDAD])</f>
        <v>20</v>
      </c>
      <c r="I6" s="3"/>
    </row>
    <row r="7" spans="2:9" x14ac:dyDescent="0.3">
      <c r="B7" s="4" t="s">
        <v>9</v>
      </c>
      <c r="C7" s="4" t="s">
        <v>10</v>
      </c>
      <c r="D7" s="4"/>
      <c r="E7" s="4"/>
      <c r="F7" s="4">
        <v>124</v>
      </c>
      <c r="G7" s="4">
        <f>SUMIF([1]!ENTRADAS[CODIGO],[1]!INVENTARIO[[#This Row],[CODIGO]],[1]!ENTRADAS[CANTIDAD])</f>
        <v>2</v>
      </c>
      <c r="H7" s="4">
        <f>SUMIF([1]!SALIDAS[CODIGO],[1]!INVENTARIO[[#This Row],[CODIGO]],[1]!SALIDAS[CANTIDAD])</f>
        <v>5</v>
      </c>
      <c r="I7" s="4"/>
    </row>
    <row r="8" spans="2:9" x14ac:dyDescent="0.3">
      <c r="B8" s="3" t="s">
        <v>11</v>
      </c>
      <c r="C8" s="3" t="s">
        <v>12</v>
      </c>
      <c r="D8" s="3"/>
      <c r="E8" s="3"/>
      <c r="F8" s="3">
        <v>150</v>
      </c>
      <c r="G8" s="3">
        <f>SUMIF([1]!ENTRADAS[CODIGO],[1]!INVENTARIO[[#This Row],[CODIGO]],[1]!ENTRADAS[CANTIDAD])</f>
        <v>0</v>
      </c>
      <c r="H8" s="3">
        <f>SUMIF([1]!SALIDAS[CODIGO],[1]!INVENTARIO[[#This Row],[CODIGO]],[1]!SALIDAS[CANTIDAD])</f>
        <v>3</v>
      </c>
      <c r="I8" s="3"/>
    </row>
    <row r="9" spans="2:9" x14ac:dyDescent="0.3">
      <c r="B9" s="4" t="s">
        <v>13</v>
      </c>
      <c r="C9" s="4" t="s">
        <v>14</v>
      </c>
      <c r="D9" s="4"/>
      <c r="E9" s="4"/>
      <c r="F9" s="4">
        <v>100</v>
      </c>
      <c r="G9" s="4">
        <f>SUMIF([1]!ENTRADAS[CODIGO],[1]!INVENTARIO[[#This Row],[CODIGO]],[1]!ENTRADAS[CANTIDAD])</f>
        <v>23</v>
      </c>
      <c r="H9" s="4">
        <f>SUMIF([1]!SALIDAS[CODIGO],[1]!INVENTARIO[[#This Row],[CODIGO]],[1]!SALIDAS[CANTIDAD])</f>
        <v>12</v>
      </c>
      <c r="I9" s="4"/>
    </row>
    <row r="10" spans="2:9" x14ac:dyDescent="0.3">
      <c r="B10" s="3" t="s">
        <v>15</v>
      </c>
      <c r="C10" s="3" t="s">
        <v>16</v>
      </c>
      <c r="D10" s="3"/>
      <c r="E10" s="3"/>
      <c r="F10" s="3">
        <v>30</v>
      </c>
      <c r="G10" s="3">
        <f>SUMIF([1]!ENTRADAS[CODIGO],[1]!INVENTARIO[[#This Row],[CODIGO]],[1]!ENTRADAS[CANTIDAD])</f>
        <v>42</v>
      </c>
      <c r="H10" s="3">
        <f>SUMIF([1]!SALIDAS[CODIGO],[1]!INVENTARIO[[#This Row],[CODIGO]],[1]!SALIDAS[CANTIDAD])</f>
        <v>23</v>
      </c>
      <c r="I10" s="3"/>
    </row>
    <row r="11" spans="2:9" x14ac:dyDescent="0.3">
      <c r="B11" s="4" t="s">
        <v>17</v>
      </c>
      <c r="C11" s="4" t="s">
        <v>18</v>
      </c>
      <c r="D11" s="4"/>
      <c r="E11" s="4"/>
      <c r="F11" s="4">
        <v>300</v>
      </c>
      <c r="G11" s="4">
        <f>SUMIF([1]!ENTRADAS[CODIGO],[1]!INVENTARIO[[#This Row],[CODIGO]],[1]!ENTRADAS[CANTIDAD])</f>
        <v>10</v>
      </c>
      <c r="H11" s="4">
        <f>SUMIF([1]!SALIDAS[CODIGO],[1]!INVENTARIO[[#This Row],[CODIGO]],[1]!SALIDAS[CANTIDAD])</f>
        <v>7</v>
      </c>
      <c r="I11" s="4"/>
    </row>
    <row r="12" spans="2:9" x14ac:dyDescent="0.3">
      <c r="B12" s="3" t="s">
        <v>19</v>
      </c>
      <c r="C12" s="3" t="s">
        <v>20</v>
      </c>
      <c r="D12" s="3"/>
      <c r="E12" s="3"/>
      <c r="F12" s="3">
        <v>257</v>
      </c>
      <c r="G12" s="3">
        <f>SUMIF([1]!ENTRADAS[CODIGO],[1]!INVENTARIO[[#This Row],[CODIGO]],[1]!ENTRADAS[CANTIDAD])</f>
        <v>300</v>
      </c>
      <c r="H12" s="3">
        <f>SUMIF([1]!SALIDAS[CODIGO],[1]!INVENTARIO[[#This Row],[CODIGO]],[1]!SALIDAS[CANTIDAD])</f>
        <v>365</v>
      </c>
      <c r="I12" s="3"/>
    </row>
    <row r="13" spans="2:9" x14ac:dyDescent="0.3">
      <c r="B13" s="4" t="s">
        <v>21</v>
      </c>
      <c r="C13" s="4" t="s">
        <v>22</v>
      </c>
      <c r="D13" s="4"/>
      <c r="E13" s="4"/>
      <c r="F13" s="4">
        <v>200</v>
      </c>
      <c r="G13" s="4">
        <f>SUMIF([1]!ENTRADAS[CODIGO],[1]!INVENTARIO[[#This Row],[CODIGO]],[1]!ENTRADAS[CANTIDAD])</f>
        <v>0</v>
      </c>
      <c r="H13" s="4">
        <f>SUMIF([1]!SALIDAS[CODIGO],[1]!INVENTARIO[[#This Row],[CODIGO]],[1]!SALIDAS[CANTIDAD])</f>
        <v>0</v>
      </c>
      <c r="I13" s="4"/>
    </row>
    <row r="14" spans="2:9" x14ac:dyDescent="0.3">
      <c r="B14" s="3" t="s">
        <v>23</v>
      </c>
      <c r="C14" s="3" t="s">
        <v>24</v>
      </c>
      <c r="D14" s="3"/>
      <c r="E14" s="3"/>
      <c r="F14" s="3">
        <v>108</v>
      </c>
      <c r="G14" s="3">
        <f>SUMIF([1]!ENTRADAS[CODIGO],[1]!INVENTARIO[[#This Row],[CODIGO]],[1]!ENTRADAS[CANTIDAD])</f>
        <v>0</v>
      </c>
      <c r="H14" s="3">
        <f>SUMIF([1]!SALIDAS[CODIGO],[1]!INVENTARIO[[#This Row],[CODIGO]],[1]!SALIDAS[CANTIDAD])</f>
        <v>0</v>
      </c>
      <c r="I14" s="3"/>
    </row>
    <row r="15" spans="2:9" x14ac:dyDescent="0.3">
      <c r="B15" s="5" t="s">
        <v>25</v>
      </c>
      <c r="C15" s="5" t="s">
        <v>26</v>
      </c>
      <c r="D15" s="4"/>
      <c r="E15" s="4"/>
      <c r="F15" s="5">
        <v>1000</v>
      </c>
      <c r="G15" s="5">
        <f>SUMIF([1]!ENTRADAS[CODIGO],[1]!INVENTARIO[[#This Row],[CODIGO]],[1]!ENTRADAS[CANTIDAD])</f>
        <v>0</v>
      </c>
      <c r="H15" s="5">
        <f>SUMIF([1]!SALIDAS[CODIGO],[1]!INVENTARIO[[#This Row],[CODIGO]],[1]!SALIDAS[CANTIDAD])</f>
        <v>0</v>
      </c>
      <c r="I15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1C69-F4DF-45AC-A199-20AE4AE9971F}">
  <dimension ref="B2:F14"/>
  <sheetViews>
    <sheetView workbookViewId="0">
      <selection activeCell="B2" sqref="B2"/>
    </sheetView>
  </sheetViews>
  <sheetFormatPr baseColWidth="10" defaultRowHeight="14.4" x14ac:dyDescent="0.3"/>
  <cols>
    <col min="2" max="6" width="16" customWidth="1"/>
  </cols>
  <sheetData>
    <row r="2" spans="2:6" x14ac:dyDescent="0.3">
      <c r="B2" t="s">
        <v>32</v>
      </c>
    </row>
    <row r="4" spans="2:6" x14ac:dyDescent="0.3">
      <c r="B4" s="6" t="s">
        <v>28</v>
      </c>
      <c r="C4" s="7" t="s">
        <v>29</v>
      </c>
      <c r="D4" s="7" t="s">
        <v>0</v>
      </c>
      <c r="E4" s="7" t="s">
        <v>1</v>
      </c>
      <c r="F4" s="8" t="s">
        <v>30</v>
      </c>
    </row>
    <row r="5" spans="2:6" x14ac:dyDescent="0.3">
      <c r="B5" s="9"/>
      <c r="C5" s="10"/>
      <c r="D5" s="11"/>
      <c r="E5" s="11"/>
      <c r="F5" s="12"/>
    </row>
    <row r="6" spans="2:6" x14ac:dyDescent="0.3">
      <c r="B6" s="9"/>
      <c r="C6" s="10"/>
      <c r="D6" s="11"/>
      <c r="E6" s="11"/>
      <c r="F6" s="12"/>
    </row>
    <row r="7" spans="2:6" x14ac:dyDescent="0.3">
      <c r="B7" s="9"/>
      <c r="C7" s="10"/>
      <c r="D7" s="11"/>
      <c r="E7" s="11"/>
      <c r="F7" s="12"/>
    </row>
    <row r="8" spans="2:6" x14ac:dyDescent="0.3">
      <c r="B8" s="9"/>
      <c r="C8" s="10"/>
      <c r="D8" s="11"/>
      <c r="E8" s="11"/>
      <c r="F8" s="12"/>
    </row>
    <row r="9" spans="2:6" x14ac:dyDescent="0.3">
      <c r="B9" s="9"/>
      <c r="C9" s="10"/>
      <c r="D9" s="11"/>
      <c r="E9" s="11"/>
      <c r="F9" s="12"/>
    </row>
    <row r="10" spans="2:6" x14ac:dyDescent="0.3">
      <c r="B10" s="9"/>
      <c r="C10" s="10"/>
      <c r="D10" s="11"/>
      <c r="E10" s="11"/>
      <c r="F10" s="12"/>
    </row>
    <row r="11" spans="2:6" x14ac:dyDescent="0.3">
      <c r="B11" s="9"/>
      <c r="C11" s="10"/>
      <c r="D11" s="11"/>
      <c r="E11" s="11"/>
      <c r="F11" s="12"/>
    </row>
    <row r="12" spans="2:6" x14ac:dyDescent="0.3">
      <c r="B12" s="9"/>
      <c r="C12" s="10"/>
      <c r="D12" s="11"/>
      <c r="E12" s="11"/>
      <c r="F12" s="12"/>
    </row>
    <row r="13" spans="2:6" x14ac:dyDescent="0.3">
      <c r="B13" s="9"/>
      <c r="C13" s="10"/>
      <c r="D13" s="11"/>
      <c r="E13" s="11"/>
      <c r="F13" s="12"/>
    </row>
    <row r="14" spans="2:6" x14ac:dyDescent="0.3">
      <c r="B14" s="9"/>
      <c r="C14" s="13"/>
      <c r="D14" s="11"/>
      <c r="E14" s="14"/>
      <c r="F14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F78B7-EB41-4F76-B1CE-98F0204994A6}">
  <dimension ref="B2:F14"/>
  <sheetViews>
    <sheetView workbookViewId="0">
      <selection activeCell="B2" sqref="B2"/>
    </sheetView>
  </sheetViews>
  <sheetFormatPr baseColWidth="10" defaultRowHeight="14.4" x14ac:dyDescent="0.3"/>
  <cols>
    <col min="2" max="6" width="18.44140625" customWidth="1"/>
  </cols>
  <sheetData>
    <row r="2" spans="2:6" x14ac:dyDescent="0.3">
      <c r="B2" t="s">
        <v>31</v>
      </c>
    </row>
    <row r="4" spans="2:6" x14ac:dyDescent="0.3">
      <c r="B4" s="6" t="s">
        <v>28</v>
      </c>
      <c r="C4" s="7" t="s">
        <v>29</v>
      </c>
      <c r="D4" s="7" t="s">
        <v>0</v>
      </c>
      <c r="E4" s="7" t="s">
        <v>1</v>
      </c>
      <c r="F4" s="8" t="s">
        <v>30</v>
      </c>
    </row>
    <row r="5" spans="2:6" x14ac:dyDescent="0.3">
      <c r="B5" s="9"/>
      <c r="C5" s="10"/>
      <c r="D5" s="11"/>
      <c r="E5" s="11"/>
      <c r="F5" s="12"/>
    </row>
    <row r="6" spans="2:6" x14ac:dyDescent="0.3">
      <c r="B6" s="9"/>
      <c r="C6" s="10"/>
      <c r="D6" s="11"/>
      <c r="E6" s="11"/>
      <c r="F6" s="12"/>
    </row>
    <row r="7" spans="2:6" x14ac:dyDescent="0.3">
      <c r="B7" s="9"/>
      <c r="C7" s="10"/>
      <c r="D7" s="11"/>
      <c r="E7" s="11"/>
      <c r="F7" s="12"/>
    </row>
    <row r="8" spans="2:6" x14ac:dyDescent="0.3">
      <c r="B8" s="9"/>
      <c r="C8" s="10"/>
      <c r="D8" s="11"/>
      <c r="E8" s="11"/>
      <c r="F8" s="12"/>
    </row>
    <row r="9" spans="2:6" x14ac:dyDescent="0.3">
      <c r="B9" s="9"/>
      <c r="C9" s="10"/>
      <c r="D9" s="11"/>
      <c r="E9" s="11"/>
      <c r="F9" s="12"/>
    </row>
    <row r="10" spans="2:6" x14ac:dyDescent="0.3">
      <c r="B10" s="9"/>
      <c r="C10" s="10"/>
      <c r="D10" s="11"/>
      <c r="E10" s="11"/>
      <c r="F10" s="12"/>
    </row>
    <row r="11" spans="2:6" x14ac:dyDescent="0.3">
      <c r="B11" s="9"/>
      <c r="C11" s="10"/>
      <c r="D11" s="11"/>
      <c r="E11" s="11"/>
      <c r="F11" s="12"/>
    </row>
    <row r="12" spans="2:6" x14ac:dyDescent="0.3">
      <c r="B12" s="9"/>
      <c r="C12" s="10"/>
      <c r="D12" s="11"/>
      <c r="E12" s="11"/>
      <c r="F12" s="12"/>
    </row>
    <row r="13" spans="2:6" x14ac:dyDescent="0.3">
      <c r="B13" s="9"/>
      <c r="C13" s="10"/>
      <c r="D13" s="11"/>
      <c r="E13" s="11"/>
      <c r="F13" s="12"/>
    </row>
    <row r="14" spans="2:6" x14ac:dyDescent="0.3">
      <c r="B14" s="9"/>
      <c r="C14" s="13"/>
      <c r="D14" s="11"/>
      <c r="E14" s="14"/>
      <c r="F14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 Vásquez</dc:creator>
  <cp:lastModifiedBy>Patty Vásquez</cp:lastModifiedBy>
  <dcterms:created xsi:type="dcterms:W3CDTF">2023-09-28T16:36:19Z</dcterms:created>
  <dcterms:modified xsi:type="dcterms:W3CDTF">2023-09-28T16:40:44Z</dcterms:modified>
</cp:coreProperties>
</file>