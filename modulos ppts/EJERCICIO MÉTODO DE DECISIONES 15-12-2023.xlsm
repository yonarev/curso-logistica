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OCS 2023\CursoAdminLog\MODULO 5\"/>
    </mc:Choice>
  </mc:AlternateContent>
  <xr:revisionPtr revIDLastSave="0" documentId="13_ncr:1_{68DB5DAB-D6F3-48DB-A160-DF4553B17D60}" xr6:coauthVersionLast="47" xr6:coauthVersionMax="47" xr10:uidLastSave="{00000000-0000-0000-0000-000000000000}"/>
  <bookViews>
    <workbookView xWindow="-108" yWindow="-108" windowWidth="30936" windowHeight="17496" xr2:uid="{67ED2A98-0FEE-4E90-AEAD-99EE6E2F7095}"/>
  </bookViews>
  <sheets>
    <sheet name="Ejercicio 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5" i="1" l="1"/>
  <c r="P36" i="1" s="1"/>
  <c r="O38" i="1"/>
  <c r="O42" i="1"/>
  <c r="P44" i="1" s="1"/>
  <c r="N46" i="1"/>
  <c r="N43" i="1"/>
  <c r="N39" i="1"/>
  <c r="H25" i="1"/>
  <c r="L38" i="1" s="1"/>
  <c r="H26" i="1"/>
  <c r="L42" i="1" s="1"/>
  <c r="H27" i="1"/>
  <c r="L45" i="1" s="1"/>
  <c r="H24" i="1"/>
  <c r="L35" i="1" s="1"/>
  <c r="N36" i="1" s="1"/>
</calcChain>
</file>

<file path=xl/sharedStrings.xml><?xml version="1.0" encoding="utf-8"?>
<sst xmlns="http://schemas.openxmlformats.org/spreadsheetml/2006/main" count="33" uniqueCount="23">
  <si>
    <t>BODEGA PEQUEÑA</t>
  </si>
  <si>
    <t>BODEGA GRANDE</t>
  </si>
  <si>
    <t>NO CONSTRUIR</t>
  </si>
  <si>
    <t>FALABELLA</t>
  </si>
  <si>
    <t>ALTERNATIVA</t>
  </si>
  <si>
    <t>1.-Bodega Pequeña, Alta demanda</t>
  </si>
  <si>
    <t>2.-Bodega Pequeña, Baja demanda</t>
  </si>
  <si>
    <t>3.-Bodega Grande, Alta Demanda</t>
  </si>
  <si>
    <t>4.-Bodega Grande, Baja Demanda</t>
  </si>
  <si>
    <t>INGRESO</t>
  </si>
  <si>
    <t>COSTO</t>
  </si>
  <si>
    <t>VALOR NETO</t>
  </si>
  <si>
    <t>5.-No construir Nada</t>
  </si>
  <si>
    <t>LA MEJOR ALTERNATIVA ES CONSTRUIR UNA BODEGA PEQUEÑA, YA QUE REPRESENTA UN MAYOR VALOR ESPERADO</t>
  </si>
  <si>
    <t xml:space="preserve">          Demanda Alta 0,40</t>
  </si>
  <si>
    <t xml:space="preserve">          Demanda Baja 0,60</t>
  </si>
  <si>
    <t>FORMULA</t>
  </si>
  <si>
    <t>RESULTADO</t>
  </si>
  <si>
    <t>6.000.000 * 0.40</t>
  </si>
  <si>
    <t>4.000.000 * 0.60</t>
  </si>
  <si>
    <t>5.000.000 * 0.40</t>
  </si>
  <si>
    <t>1.000.000 * 0.60</t>
  </si>
  <si>
    <t>valor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</si>
</sst>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&quot;$&quot;\-#,##0"/>
    <numFmt numFmtId="42" formatCode="_ &quot;$&quot;* #,##0_ ;_ &quot;$&quot;* \-#,##0_ ;_ &quot;$&quot;* &quot;-&quot;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42" fontId="0" fillId="0" borderId="0" xfId="0" applyNumberFormat="1"/>
    <xf numFmtId="0" fontId="1" fillId="0" borderId="0" xfId="0" applyFont="1" applyAlignment="1">
      <alignment horizontal="center"/>
    </xf>
    <xf numFmtId="42" fontId="0" fillId="0" borderId="1" xfId="0" applyNumberFormat="1" applyFill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1" fillId="3" borderId="13" xfId="0" applyFont="1" applyFill="1" applyBorder="1" applyAlignment="1">
      <alignment horizontal="center"/>
    </xf>
    <xf numFmtId="42" fontId="2" fillId="0" borderId="0" xfId="0" applyNumberFormat="1" applyFont="1"/>
    <xf numFmtId="42" fontId="1" fillId="0" borderId="0" xfId="0" applyNumberFormat="1" applyFont="1"/>
    <xf numFmtId="6" fontId="2" fillId="0" borderId="0" xfId="0" applyNumberFormat="1" applyFont="1"/>
    <xf numFmtId="0" fontId="2" fillId="0" borderId="0" xfId="0" applyFont="1"/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2" fontId="1" fillId="0" borderId="14" xfId="0" applyNumberFormat="1" applyFont="1" applyBorder="1"/>
    <xf numFmtId="42" fontId="1" fillId="0" borderId="1" xfId="0" applyNumberFormat="1" applyFont="1" applyBorder="1"/>
    <xf numFmtId="42" fontId="1" fillId="0" borderId="14" xfId="0" applyNumberFormat="1" applyFont="1" applyFill="1" applyBorder="1"/>
    <xf numFmtId="42" fontId="2" fillId="0" borderId="1" xfId="0" applyNumberFormat="1" applyFont="1" applyBorder="1"/>
    <xf numFmtId="42" fontId="0" fillId="0" borderId="0" xfId="1" applyFont="1"/>
    <xf numFmtId="42" fontId="0" fillId="0" borderId="0" xfId="0" applyNumberFormat="1" applyAlignment="1">
      <alignment horizontal="left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462916</xdr:colOff>
      <xdr:row>12</xdr:row>
      <xdr:rowOff>89534</xdr:rowOff>
    </xdr:from>
    <xdr:to>
      <xdr:col>3</xdr:col>
      <xdr:colOff>344806</xdr:colOff>
      <xdr:row>15</xdr:row>
      <xdr:rowOff>142874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046D8CC-EEB2-38CD-3C76-058E1AEDB891}"/>
            </a:ext>
          </a:extLst>
        </xdr:cNvPr>
        <xdr:cNvSpPr/>
      </xdr:nvSpPr>
      <xdr:spPr>
        <a:xfrm>
          <a:off x="2044066" y="1175384"/>
          <a:ext cx="672465" cy="59626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14</xdr:row>
      <xdr:rowOff>20002</xdr:rowOff>
    </xdr:from>
    <xdr:to>
      <xdr:col>2</xdr:col>
      <xdr:colOff>481966</xdr:colOff>
      <xdr:row>14</xdr:row>
      <xdr:rowOff>28575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368293BF-BB9B-6E4A-4EEB-48C3A0CD678E}"/>
            </a:ext>
          </a:extLst>
        </xdr:cNvPr>
        <xdr:cNvCxnSpPr/>
      </xdr:nvCxnSpPr>
      <xdr:spPr>
        <a:xfrm flipH="1">
          <a:off x="704850" y="1467802"/>
          <a:ext cx="135826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7</xdr:row>
      <xdr:rowOff>171450</xdr:rowOff>
    </xdr:from>
    <xdr:to>
      <xdr:col>5</xdr:col>
      <xdr:colOff>9525</xdr:colOff>
      <xdr:row>14</xdr:row>
      <xdr:rowOff>26669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96436788-505A-8B8D-A188-778175917A28}"/>
            </a:ext>
          </a:extLst>
        </xdr:cNvPr>
        <xdr:cNvCxnSpPr>
          <a:stCxn id="3" idx="3"/>
        </xdr:cNvCxnSpPr>
      </xdr:nvCxnSpPr>
      <xdr:spPr>
        <a:xfrm flipV="1">
          <a:off x="2716531" y="352425"/>
          <a:ext cx="1245869" cy="11220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14</xdr:row>
      <xdr:rowOff>0</xdr:rowOff>
    </xdr:from>
    <xdr:to>
      <xdr:col>6</xdr:col>
      <xdr:colOff>552450</xdr:colOff>
      <xdr:row>14</xdr:row>
      <xdr:rowOff>22859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F3444812-8A48-425F-91E3-7808E06A38D3}"/>
            </a:ext>
          </a:extLst>
        </xdr:cNvPr>
        <xdr:cNvCxnSpPr/>
      </xdr:nvCxnSpPr>
      <xdr:spPr>
        <a:xfrm flipV="1">
          <a:off x="2726055" y="1990725"/>
          <a:ext cx="2569845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14</xdr:row>
      <xdr:rowOff>40004</xdr:rowOff>
    </xdr:from>
    <xdr:to>
      <xdr:col>5</xdr:col>
      <xdr:colOff>9525</xdr:colOff>
      <xdr:row>20</xdr:row>
      <xdr:rowOff>76200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411E6F1B-323E-465A-897E-DB3CD46D5F24}"/>
            </a:ext>
          </a:extLst>
        </xdr:cNvPr>
        <xdr:cNvCxnSpPr/>
      </xdr:nvCxnSpPr>
      <xdr:spPr>
        <a:xfrm>
          <a:off x="2703195" y="1487804"/>
          <a:ext cx="1259205" cy="112204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6</xdr:row>
      <xdr:rowOff>15240</xdr:rowOff>
    </xdr:from>
    <xdr:to>
      <xdr:col>7</xdr:col>
      <xdr:colOff>596265</xdr:colOff>
      <xdr:row>9</xdr:row>
      <xdr:rowOff>110490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84F265EF-1ECB-FE9B-AC66-D377CFAE7C79}"/>
            </a:ext>
          </a:extLst>
        </xdr:cNvPr>
        <xdr:cNvSpPr/>
      </xdr:nvSpPr>
      <xdr:spPr>
        <a:xfrm>
          <a:off x="5377815" y="558165"/>
          <a:ext cx="752475" cy="63817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11</xdr:row>
      <xdr:rowOff>177165</xdr:rowOff>
    </xdr:from>
    <xdr:to>
      <xdr:col>7</xdr:col>
      <xdr:colOff>573405</xdr:colOff>
      <xdr:row>15</xdr:row>
      <xdr:rowOff>95250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907534EC-0532-42FF-86A8-00D9A8A91B97}"/>
            </a:ext>
          </a:extLst>
        </xdr:cNvPr>
        <xdr:cNvSpPr/>
      </xdr:nvSpPr>
      <xdr:spPr>
        <a:xfrm>
          <a:off x="5351145" y="1624965"/>
          <a:ext cx="756285" cy="64198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7</xdr:row>
      <xdr:rowOff>155258</xdr:rowOff>
    </xdr:from>
    <xdr:to>
      <xdr:col>6</xdr:col>
      <xdr:colOff>630555</xdr:colOff>
      <xdr:row>8</xdr:row>
      <xdr:rowOff>1905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6D11E9D1-2306-FC70-61EF-D0E033D229F0}"/>
            </a:ext>
          </a:extLst>
        </xdr:cNvPr>
        <xdr:cNvCxnSpPr>
          <a:endCxn id="21" idx="2"/>
        </xdr:cNvCxnSpPr>
      </xdr:nvCxnSpPr>
      <xdr:spPr>
        <a:xfrm flipV="1">
          <a:off x="3949065" y="879158"/>
          <a:ext cx="1424940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7</xdr:row>
      <xdr:rowOff>155258</xdr:rowOff>
    </xdr:from>
    <xdr:to>
      <xdr:col>6</xdr:col>
      <xdr:colOff>630555</xdr:colOff>
      <xdr:row>8</xdr:row>
      <xdr:rowOff>1905</xdr:rowOff>
    </xdr:to>
    <xdr:cxnSp macro="">
      <xdr:nvCxnSpPr>
        <xdr:cNvPr id="29" name="Conector recto 28">
          <a:extLst>
            <a:ext uri="{FF2B5EF4-FFF2-40B4-BE49-F238E27FC236}">
              <a16:creationId xmlns:a16="http://schemas.microsoft.com/office/drawing/2014/main" id="{54DF873C-E7AD-4D2D-9150-3EF83B766E58}"/>
            </a:ext>
          </a:extLst>
        </xdr:cNvPr>
        <xdr:cNvCxnSpPr/>
      </xdr:nvCxnSpPr>
      <xdr:spPr>
        <a:xfrm flipV="1">
          <a:off x="3949065" y="879158"/>
          <a:ext cx="1424940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20</xdr:row>
      <xdr:rowOff>76200</xdr:rowOff>
    </xdr:from>
    <xdr:to>
      <xdr:col>6</xdr:col>
      <xdr:colOff>752475</xdr:colOff>
      <xdr:row>20</xdr:row>
      <xdr:rowOff>78105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9CF24F31-1F49-66FD-A150-98E70040F7A1}"/>
            </a:ext>
          </a:extLst>
        </xdr:cNvPr>
        <xdr:cNvCxnSpPr/>
      </xdr:nvCxnSpPr>
      <xdr:spPr>
        <a:xfrm flipV="1">
          <a:off x="3973830" y="3152775"/>
          <a:ext cx="1522095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19</xdr:row>
      <xdr:rowOff>11430</xdr:rowOff>
    </xdr:from>
    <xdr:to>
      <xdr:col>7</xdr:col>
      <xdr:colOff>409579</xdr:colOff>
      <xdr:row>21</xdr:row>
      <xdr:rowOff>144780</xdr:rowOff>
    </xdr:to>
    <xdr:sp macro="" textlink="">
      <xdr:nvSpPr>
        <xdr:cNvPr id="39" name="Triángulo isósceles 38">
          <a:extLst>
            <a:ext uri="{FF2B5EF4-FFF2-40B4-BE49-F238E27FC236}">
              <a16:creationId xmlns:a16="http://schemas.microsoft.com/office/drawing/2014/main" id="{9D2CB3E5-306C-637F-7411-4BD8C6A644F6}"/>
            </a:ext>
          </a:extLst>
        </xdr:cNvPr>
        <xdr:cNvSpPr/>
      </xdr:nvSpPr>
      <xdr:spPr>
        <a:xfrm rot="16200000">
          <a:off x="5480688" y="3482339"/>
          <a:ext cx="495300" cy="430532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 b="1">
              <a:solidFill>
                <a:schemeClr val="tx1"/>
              </a:solidFill>
            </a:rPr>
            <a:t>5</a:t>
          </a:r>
        </a:p>
      </xdr:txBody>
    </xdr:sp>
    <xdr:clientData/>
  </xdr:twoCellAnchor>
  <xdr:twoCellAnchor>
    <xdr:from>
      <xdr:col>7</xdr:col>
      <xdr:colOff>592455</xdr:colOff>
      <xdr:row>6</xdr:row>
      <xdr:rowOff>28575</xdr:rowOff>
    </xdr:from>
    <xdr:to>
      <xdr:col>8</xdr:col>
      <xdr:colOff>438150</xdr:colOff>
      <xdr:row>7</xdr:row>
      <xdr:rowOff>155258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F2061A1B-D2C9-6881-31D2-35D9B61B7CBB}"/>
            </a:ext>
          </a:extLst>
        </xdr:cNvPr>
        <xdr:cNvCxnSpPr>
          <a:stCxn id="21" idx="6"/>
        </xdr:cNvCxnSpPr>
      </xdr:nvCxnSpPr>
      <xdr:spPr>
        <a:xfrm flipV="1">
          <a:off x="6126480" y="1114425"/>
          <a:ext cx="636270" cy="30765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12</xdr:row>
      <xdr:rowOff>47625</xdr:rowOff>
    </xdr:from>
    <xdr:to>
      <xdr:col>8</xdr:col>
      <xdr:colOff>361950</xdr:colOff>
      <xdr:row>13</xdr:row>
      <xdr:rowOff>105728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23FD78B8-F324-42BF-AD14-60D62014990A}"/>
            </a:ext>
          </a:extLst>
        </xdr:cNvPr>
        <xdr:cNvCxnSpPr/>
      </xdr:nvCxnSpPr>
      <xdr:spPr>
        <a:xfrm flipV="1">
          <a:off x="6122670" y="2219325"/>
          <a:ext cx="563880" cy="23907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8</xdr:row>
      <xdr:rowOff>16193</xdr:rowOff>
    </xdr:from>
    <xdr:to>
      <xdr:col>8</xdr:col>
      <xdr:colOff>438150</xdr:colOff>
      <xdr:row>9</xdr:row>
      <xdr:rowOff>19050</xdr:rowOff>
    </xdr:to>
    <xdr:cxnSp macro="">
      <xdr:nvCxnSpPr>
        <xdr:cNvPr id="45" name="Conector recto 44">
          <a:extLst>
            <a:ext uri="{FF2B5EF4-FFF2-40B4-BE49-F238E27FC236}">
              <a16:creationId xmlns:a16="http://schemas.microsoft.com/office/drawing/2014/main" id="{22FD0B89-38A0-4A57-89D5-6C365658A0B0}"/>
            </a:ext>
          </a:extLst>
        </xdr:cNvPr>
        <xdr:cNvCxnSpPr/>
      </xdr:nvCxnSpPr>
      <xdr:spPr>
        <a:xfrm>
          <a:off x="6124575" y="1463993"/>
          <a:ext cx="638175" cy="18383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13</xdr:row>
      <xdr:rowOff>132398</xdr:rowOff>
    </xdr:from>
    <xdr:to>
      <xdr:col>8</xdr:col>
      <xdr:colOff>409575</xdr:colOff>
      <xdr:row>15</xdr:row>
      <xdr:rowOff>104775</xdr:rowOff>
    </xdr:to>
    <xdr:cxnSp macro="">
      <xdr:nvCxnSpPr>
        <xdr:cNvPr id="49" name="Conector recto 48">
          <a:extLst>
            <a:ext uri="{FF2B5EF4-FFF2-40B4-BE49-F238E27FC236}">
              <a16:creationId xmlns:a16="http://schemas.microsoft.com/office/drawing/2014/main" id="{08B86767-C4F4-4FE0-8CAA-E942271BA407}"/>
            </a:ext>
          </a:extLst>
        </xdr:cNvPr>
        <xdr:cNvCxnSpPr/>
      </xdr:nvCxnSpPr>
      <xdr:spPr>
        <a:xfrm>
          <a:off x="6116955" y="2485073"/>
          <a:ext cx="617220" cy="3343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6</xdr:row>
      <xdr:rowOff>0</xdr:rowOff>
    </xdr:from>
    <xdr:to>
      <xdr:col>9</xdr:col>
      <xdr:colOff>733425</xdr:colOff>
      <xdr:row>6</xdr:row>
      <xdr:rowOff>21908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47193A9B-C718-462D-93AA-BD2C09619513}"/>
            </a:ext>
          </a:extLst>
        </xdr:cNvPr>
        <xdr:cNvCxnSpPr/>
      </xdr:nvCxnSpPr>
      <xdr:spPr>
        <a:xfrm flipV="1">
          <a:off x="6768465" y="1085850"/>
          <a:ext cx="1080135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9</xdr:row>
      <xdr:rowOff>9525</xdr:rowOff>
    </xdr:from>
    <xdr:to>
      <xdr:col>9</xdr:col>
      <xdr:colOff>762000</xdr:colOff>
      <xdr:row>9</xdr:row>
      <xdr:rowOff>16193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DC64E4A0-D7EA-477E-8A67-FE6956D5F9C7}"/>
            </a:ext>
          </a:extLst>
        </xdr:cNvPr>
        <xdr:cNvCxnSpPr/>
      </xdr:nvCxnSpPr>
      <xdr:spPr>
        <a:xfrm flipV="1">
          <a:off x="6764655" y="1638300"/>
          <a:ext cx="1112520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12</xdr:row>
      <xdr:rowOff>37148</xdr:rowOff>
    </xdr:from>
    <xdr:to>
      <xdr:col>9</xdr:col>
      <xdr:colOff>762000</xdr:colOff>
      <xdr:row>12</xdr:row>
      <xdr:rowOff>38100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F19453A9-A838-4A85-8B65-19726B4AEC0A}"/>
            </a:ext>
          </a:extLst>
        </xdr:cNvPr>
        <xdr:cNvCxnSpPr/>
      </xdr:nvCxnSpPr>
      <xdr:spPr>
        <a:xfrm>
          <a:off x="6682740" y="2208848"/>
          <a:ext cx="1194435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15</xdr:row>
      <xdr:rowOff>57150</xdr:rowOff>
    </xdr:from>
    <xdr:to>
      <xdr:col>10</xdr:col>
      <xdr:colOff>19050</xdr:colOff>
      <xdr:row>15</xdr:row>
      <xdr:rowOff>86678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E8532219-A4E7-4E06-9B3C-54EE6D1A474E}"/>
            </a:ext>
          </a:extLst>
        </xdr:cNvPr>
        <xdr:cNvCxnSpPr/>
      </xdr:nvCxnSpPr>
      <xdr:spPr>
        <a:xfrm flipV="1">
          <a:off x="6743700" y="2771775"/>
          <a:ext cx="118110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4</xdr:row>
      <xdr:rowOff>123825</xdr:rowOff>
    </xdr:from>
    <xdr:to>
      <xdr:col>10</xdr:col>
      <xdr:colOff>405766</xdr:colOff>
      <xdr:row>7</xdr:row>
      <xdr:rowOff>34290</xdr:rowOff>
    </xdr:to>
    <xdr:sp macro="" textlink="">
      <xdr:nvSpPr>
        <xdr:cNvPr id="66" name="Triángulo isósceles 65">
          <a:extLst>
            <a:ext uri="{FF2B5EF4-FFF2-40B4-BE49-F238E27FC236}">
              <a16:creationId xmlns:a16="http://schemas.microsoft.com/office/drawing/2014/main" id="{CD842167-1F53-4692-BDAA-390C8D2F2872}"/>
            </a:ext>
          </a:extLst>
        </xdr:cNvPr>
        <xdr:cNvSpPr/>
      </xdr:nvSpPr>
      <xdr:spPr>
        <a:xfrm rot="16200000">
          <a:off x="7867651" y="857250"/>
          <a:ext cx="453390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7</xdr:row>
      <xdr:rowOff>142875</xdr:rowOff>
    </xdr:from>
    <xdr:to>
      <xdr:col>10</xdr:col>
      <xdr:colOff>424816</xdr:colOff>
      <xdr:row>10</xdr:row>
      <xdr:rowOff>55245</xdr:rowOff>
    </xdr:to>
    <xdr:sp macro="" textlink="">
      <xdr:nvSpPr>
        <xdr:cNvPr id="67" name="Triángulo isósceles 66">
          <a:extLst>
            <a:ext uri="{FF2B5EF4-FFF2-40B4-BE49-F238E27FC236}">
              <a16:creationId xmlns:a16="http://schemas.microsoft.com/office/drawing/2014/main" id="{98D9D740-E134-4251-B2F2-6C5F56F52D96}"/>
            </a:ext>
          </a:extLst>
        </xdr:cNvPr>
        <xdr:cNvSpPr/>
      </xdr:nvSpPr>
      <xdr:spPr>
        <a:xfrm rot="16200000">
          <a:off x="7885748" y="1420178"/>
          <a:ext cx="45529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10</xdr:row>
      <xdr:rowOff>160020</xdr:rowOff>
    </xdr:from>
    <xdr:to>
      <xdr:col>10</xdr:col>
      <xdr:colOff>417197</xdr:colOff>
      <xdr:row>13</xdr:row>
      <xdr:rowOff>72390</xdr:rowOff>
    </xdr:to>
    <xdr:sp macro="" textlink="">
      <xdr:nvSpPr>
        <xdr:cNvPr id="68" name="Triángulo isósceles 67">
          <a:extLst>
            <a:ext uri="{FF2B5EF4-FFF2-40B4-BE49-F238E27FC236}">
              <a16:creationId xmlns:a16="http://schemas.microsoft.com/office/drawing/2014/main" id="{A9C4B5AF-727C-41CB-A06F-C850AABC1B21}"/>
            </a:ext>
          </a:extLst>
        </xdr:cNvPr>
        <xdr:cNvSpPr/>
      </xdr:nvSpPr>
      <xdr:spPr>
        <a:xfrm rot="16200000">
          <a:off x="7876224" y="1978343"/>
          <a:ext cx="455295" cy="43815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14</xdr:row>
      <xdr:rowOff>19050</xdr:rowOff>
    </xdr:from>
    <xdr:to>
      <xdr:col>10</xdr:col>
      <xdr:colOff>443866</xdr:colOff>
      <xdr:row>16</xdr:row>
      <xdr:rowOff>112395</xdr:rowOff>
    </xdr:to>
    <xdr:sp macro="" textlink="">
      <xdr:nvSpPr>
        <xdr:cNvPr id="69" name="Triángulo isósceles 68">
          <a:extLst>
            <a:ext uri="{FF2B5EF4-FFF2-40B4-BE49-F238E27FC236}">
              <a16:creationId xmlns:a16="http://schemas.microsoft.com/office/drawing/2014/main" id="{BC7C5CA8-F6A9-4028-9473-4E0B026D9C48}"/>
            </a:ext>
          </a:extLst>
        </xdr:cNvPr>
        <xdr:cNvSpPr/>
      </xdr:nvSpPr>
      <xdr:spPr>
        <a:xfrm rot="16200000">
          <a:off x="7904798" y="2563178"/>
          <a:ext cx="45529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2</xdr:col>
      <xdr:colOff>462916</xdr:colOff>
      <xdr:row>41</xdr:row>
      <xdr:rowOff>89534</xdr:rowOff>
    </xdr:from>
    <xdr:to>
      <xdr:col>3</xdr:col>
      <xdr:colOff>344806</xdr:colOff>
      <xdr:row>44</xdr:row>
      <xdr:rowOff>142874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B1EB042E-58A8-43FB-A996-A14CF4550D17}"/>
            </a:ext>
          </a:extLst>
        </xdr:cNvPr>
        <xdr:cNvSpPr/>
      </xdr:nvSpPr>
      <xdr:spPr>
        <a:xfrm>
          <a:off x="2045971" y="2265044"/>
          <a:ext cx="670560" cy="5905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43</xdr:row>
      <xdr:rowOff>20002</xdr:rowOff>
    </xdr:from>
    <xdr:to>
      <xdr:col>2</xdr:col>
      <xdr:colOff>481966</xdr:colOff>
      <xdr:row>43</xdr:row>
      <xdr:rowOff>28575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CE0AB720-ABAE-4B77-8F9C-CE98CE6C6401}"/>
            </a:ext>
          </a:extLst>
        </xdr:cNvPr>
        <xdr:cNvCxnSpPr/>
      </xdr:nvCxnSpPr>
      <xdr:spPr>
        <a:xfrm flipH="1">
          <a:off x="701040" y="2549842"/>
          <a:ext cx="1358266" cy="104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36</xdr:row>
      <xdr:rowOff>171450</xdr:rowOff>
    </xdr:from>
    <xdr:to>
      <xdr:col>5</xdr:col>
      <xdr:colOff>9525</xdr:colOff>
      <xdr:row>43</xdr:row>
      <xdr:rowOff>26669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E0498620-EC5A-4A77-A6C2-3889BD0F5ACA}"/>
            </a:ext>
          </a:extLst>
        </xdr:cNvPr>
        <xdr:cNvCxnSpPr>
          <a:stCxn id="71" idx="3"/>
        </xdr:cNvCxnSpPr>
      </xdr:nvCxnSpPr>
      <xdr:spPr>
        <a:xfrm flipV="1">
          <a:off x="2716531" y="1434465"/>
          <a:ext cx="1247774" cy="11220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43</xdr:row>
      <xdr:rowOff>0</xdr:rowOff>
    </xdr:from>
    <xdr:to>
      <xdr:col>6</xdr:col>
      <xdr:colOff>552450</xdr:colOff>
      <xdr:row>43</xdr:row>
      <xdr:rowOff>22859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73894973-68ED-400C-AEF9-68947D230E81}"/>
            </a:ext>
          </a:extLst>
        </xdr:cNvPr>
        <xdr:cNvCxnSpPr/>
      </xdr:nvCxnSpPr>
      <xdr:spPr>
        <a:xfrm flipV="1">
          <a:off x="2729865" y="2533650"/>
          <a:ext cx="2590800" cy="190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43</xdr:row>
      <xdr:rowOff>40004</xdr:rowOff>
    </xdr:from>
    <xdr:to>
      <xdr:col>5</xdr:col>
      <xdr:colOff>9525</xdr:colOff>
      <xdr:row>49</xdr:row>
      <xdr:rowOff>76200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610A0AB5-36C3-45D4-B937-49DB125697B2}"/>
            </a:ext>
          </a:extLst>
        </xdr:cNvPr>
        <xdr:cNvCxnSpPr/>
      </xdr:nvCxnSpPr>
      <xdr:spPr>
        <a:xfrm>
          <a:off x="2701290" y="2573654"/>
          <a:ext cx="1263015" cy="112204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35</xdr:row>
      <xdr:rowOff>15240</xdr:rowOff>
    </xdr:from>
    <xdr:to>
      <xdr:col>7</xdr:col>
      <xdr:colOff>596265</xdr:colOff>
      <xdr:row>38</xdr:row>
      <xdr:rowOff>110490</xdr:rowOff>
    </xdr:to>
    <xdr:sp macro="" textlink="">
      <xdr:nvSpPr>
        <xdr:cNvPr id="76" name="Elipse 75">
          <a:extLst>
            <a:ext uri="{FF2B5EF4-FFF2-40B4-BE49-F238E27FC236}">
              <a16:creationId xmlns:a16="http://schemas.microsoft.com/office/drawing/2014/main" id="{38635B46-2ABB-457E-B5BD-E564439F005D}"/>
            </a:ext>
          </a:extLst>
        </xdr:cNvPr>
        <xdr:cNvSpPr/>
      </xdr:nvSpPr>
      <xdr:spPr>
        <a:xfrm>
          <a:off x="5402580" y="1104900"/>
          <a:ext cx="752475" cy="63436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40</xdr:row>
      <xdr:rowOff>177165</xdr:rowOff>
    </xdr:from>
    <xdr:to>
      <xdr:col>7</xdr:col>
      <xdr:colOff>573405</xdr:colOff>
      <xdr:row>44</xdr:row>
      <xdr:rowOff>95250</xdr:rowOff>
    </xdr:to>
    <xdr:sp macro="" textlink="">
      <xdr:nvSpPr>
        <xdr:cNvPr id="77" name="Elipse 76">
          <a:extLst>
            <a:ext uri="{FF2B5EF4-FFF2-40B4-BE49-F238E27FC236}">
              <a16:creationId xmlns:a16="http://schemas.microsoft.com/office/drawing/2014/main" id="{7CF7430F-D184-4936-8698-25C2B3A0D668}"/>
            </a:ext>
          </a:extLst>
        </xdr:cNvPr>
        <xdr:cNvSpPr/>
      </xdr:nvSpPr>
      <xdr:spPr>
        <a:xfrm>
          <a:off x="5379720" y="2164080"/>
          <a:ext cx="756285" cy="64198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36</xdr:row>
      <xdr:rowOff>155258</xdr:rowOff>
    </xdr:from>
    <xdr:to>
      <xdr:col>6</xdr:col>
      <xdr:colOff>630555</xdr:colOff>
      <xdr:row>37</xdr:row>
      <xdr:rowOff>1905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83DB5C04-9AE4-47DA-BD6D-04619BC3C2AD}"/>
            </a:ext>
          </a:extLst>
        </xdr:cNvPr>
        <xdr:cNvCxnSpPr>
          <a:endCxn id="76" idx="2"/>
        </xdr:cNvCxnSpPr>
      </xdr:nvCxnSpPr>
      <xdr:spPr>
        <a:xfrm flipV="1">
          <a:off x="3945255" y="1422083"/>
          <a:ext cx="1453515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36</xdr:row>
      <xdr:rowOff>155258</xdr:rowOff>
    </xdr:from>
    <xdr:to>
      <xdr:col>6</xdr:col>
      <xdr:colOff>630555</xdr:colOff>
      <xdr:row>37</xdr:row>
      <xdr:rowOff>1905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96FFE1EE-42CB-4DCD-80BD-5D2F7B5263FB}"/>
            </a:ext>
          </a:extLst>
        </xdr:cNvPr>
        <xdr:cNvCxnSpPr/>
      </xdr:nvCxnSpPr>
      <xdr:spPr>
        <a:xfrm flipV="1">
          <a:off x="3945255" y="1422083"/>
          <a:ext cx="1453515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49</xdr:row>
      <xdr:rowOff>76200</xdr:rowOff>
    </xdr:from>
    <xdr:to>
      <xdr:col>6</xdr:col>
      <xdr:colOff>752475</xdr:colOff>
      <xdr:row>49</xdr:row>
      <xdr:rowOff>78105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1EF81E2D-4BF9-4B09-825A-576476343EB0}"/>
            </a:ext>
          </a:extLst>
        </xdr:cNvPr>
        <xdr:cNvCxnSpPr/>
      </xdr:nvCxnSpPr>
      <xdr:spPr>
        <a:xfrm flipV="1">
          <a:off x="3970020" y="3695700"/>
          <a:ext cx="1552575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48</xdr:row>
      <xdr:rowOff>11430</xdr:rowOff>
    </xdr:from>
    <xdr:to>
      <xdr:col>7</xdr:col>
      <xdr:colOff>409579</xdr:colOff>
      <xdr:row>50</xdr:row>
      <xdr:rowOff>144780</xdr:rowOff>
    </xdr:to>
    <xdr:sp macro="" textlink="">
      <xdr:nvSpPr>
        <xdr:cNvPr id="81" name="Triángulo isósceles 80">
          <a:extLst>
            <a:ext uri="{FF2B5EF4-FFF2-40B4-BE49-F238E27FC236}">
              <a16:creationId xmlns:a16="http://schemas.microsoft.com/office/drawing/2014/main" id="{A0F8B8F6-8A8E-4701-B443-9782283EAF93}"/>
            </a:ext>
          </a:extLst>
        </xdr:cNvPr>
        <xdr:cNvSpPr/>
      </xdr:nvSpPr>
      <xdr:spPr>
        <a:xfrm rot="16200000">
          <a:off x="5512120" y="3485197"/>
          <a:ext cx="489585" cy="426722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5</a:t>
          </a:r>
        </a:p>
      </xdr:txBody>
    </xdr:sp>
    <xdr:clientData/>
  </xdr:twoCellAnchor>
  <xdr:twoCellAnchor>
    <xdr:from>
      <xdr:col>7</xdr:col>
      <xdr:colOff>592455</xdr:colOff>
      <xdr:row>35</xdr:row>
      <xdr:rowOff>28575</xdr:rowOff>
    </xdr:from>
    <xdr:to>
      <xdr:col>8</xdr:col>
      <xdr:colOff>438150</xdr:colOff>
      <xdr:row>36</xdr:row>
      <xdr:rowOff>155258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E638FE85-ABED-4F07-B4BC-3E739509F053}"/>
            </a:ext>
          </a:extLst>
        </xdr:cNvPr>
        <xdr:cNvCxnSpPr>
          <a:stCxn id="76" idx="6"/>
        </xdr:cNvCxnSpPr>
      </xdr:nvCxnSpPr>
      <xdr:spPr>
        <a:xfrm flipV="1">
          <a:off x="6151245" y="1112520"/>
          <a:ext cx="750570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41</xdr:row>
      <xdr:rowOff>47625</xdr:rowOff>
    </xdr:from>
    <xdr:to>
      <xdr:col>8</xdr:col>
      <xdr:colOff>361950</xdr:colOff>
      <xdr:row>42</xdr:row>
      <xdr:rowOff>105728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234ABB53-C09E-40C5-ADB4-CC13C36D8144}"/>
            </a:ext>
          </a:extLst>
        </xdr:cNvPr>
        <xdr:cNvCxnSpPr/>
      </xdr:nvCxnSpPr>
      <xdr:spPr>
        <a:xfrm flipV="1">
          <a:off x="6155055" y="2221230"/>
          <a:ext cx="670560" cy="2352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37</xdr:row>
      <xdr:rowOff>16193</xdr:rowOff>
    </xdr:from>
    <xdr:to>
      <xdr:col>8</xdr:col>
      <xdr:colOff>438150</xdr:colOff>
      <xdr:row>38</xdr:row>
      <xdr:rowOff>19050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75A5046E-5FDE-48FB-95E0-FC38D78D0F47}"/>
            </a:ext>
          </a:extLst>
        </xdr:cNvPr>
        <xdr:cNvCxnSpPr/>
      </xdr:nvCxnSpPr>
      <xdr:spPr>
        <a:xfrm>
          <a:off x="6149340" y="1467803"/>
          <a:ext cx="752475" cy="17621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42</xdr:row>
      <xdr:rowOff>132398</xdr:rowOff>
    </xdr:from>
    <xdr:to>
      <xdr:col>8</xdr:col>
      <xdr:colOff>409575</xdr:colOff>
      <xdr:row>44</xdr:row>
      <xdr:rowOff>104775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5BBADC9A-C4D7-41BB-AEF8-790CBA92DFD6}"/>
            </a:ext>
          </a:extLst>
        </xdr:cNvPr>
        <xdr:cNvCxnSpPr/>
      </xdr:nvCxnSpPr>
      <xdr:spPr>
        <a:xfrm>
          <a:off x="6149340" y="2488883"/>
          <a:ext cx="725805" cy="32861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35</xdr:row>
      <xdr:rowOff>0</xdr:rowOff>
    </xdr:from>
    <xdr:to>
      <xdr:col>9</xdr:col>
      <xdr:colOff>733425</xdr:colOff>
      <xdr:row>35</xdr:row>
      <xdr:rowOff>21908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62BDA7B7-A72E-428D-A610-511BB4CD5EE0}"/>
            </a:ext>
          </a:extLst>
        </xdr:cNvPr>
        <xdr:cNvCxnSpPr/>
      </xdr:nvCxnSpPr>
      <xdr:spPr>
        <a:xfrm flipV="1">
          <a:off x="6907530" y="1085850"/>
          <a:ext cx="1085850" cy="1809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38</xdr:row>
      <xdr:rowOff>9525</xdr:rowOff>
    </xdr:from>
    <xdr:to>
      <xdr:col>9</xdr:col>
      <xdr:colOff>762000</xdr:colOff>
      <xdr:row>38</xdr:row>
      <xdr:rowOff>16193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5E142493-6AE5-44CA-BCC9-9BBA57263C09}"/>
            </a:ext>
          </a:extLst>
        </xdr:cNvPr>
        <xdr:cNvCxnSpPr/>
      </xdr:nvCxnSpPr>
      <xdr:spPr>
        <a:xfrm flipV="1">
          <a:off x="6903720" y="1640205"/>
          <a:ext cx="1116330" cy="857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41</xdr:row>
      <xdr:rowOff>37148</xdr:rowOff>
    </xdr:from>
    <xdr:to>
      <xdr:col>9</xdr:col>
      <xdr:colOff>762000</xdr:colOff>
      <xdr:row>41</xdr:row>
      <xdr:rowOff>38100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CCB02281-F57A-434D-8BF5-6856E6C99F6E}"/>
            </a:ext>
          </a:extLst>
        </xdr:cNvPr>
        <xdr:cNvCxnSpPr/>
      </xdr:nvCxnSpPr>
      <xdr:spPr>
        <a:xfrm>
          <a:off x="6829425" y="2208848"/>
          <a:ext cx="1190625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44</xdr:row>
      <xdr:rowOff>57150</xdr:rowOff>
    </xdr:from>
    <xdr:to>
      <xdr:col>10</xdr:col>
      <xdr:colOff>19050</xdr:colOff>
      <xdr:row>44</xdr:row>
      <xdr:rowOff>86678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9CB6F8CE-A032-488B-A833-FD02783743F2}"/>
            </a:ext>
          </a:extLst>
        </xdr:cNvPr>
        <xdr:cNvCxnSpPr/>
      </xdr:nvCxnSpPr>
      <xdr:spPr>
        <a:xfrm flipV="1">
          <a:off x="6886575" y="2767965"/>
          <a:ext cx="1177290" cy="3524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33</xdr:row>
      <xdr:rowOff>123825</xdr:rowOff>
    </xdr:from>
    <xdr:to>
      <xdr:col>10</xdr:col>
      <xdr:colOff>405766</xdr:colOff>
      <xdr:row>36</xdr:row>
      <xdr:rowOff>34290</xdr:rowOff>
    </xdr:to>
    <xdr:sp macro="" textlink="">
      <xdr:nvSpPr>
        <xdr:cNvPr id="90" name="Triángulo isósceles 89">
          <a:extLst>
            <a:ext uri="{FF2B5EF4-FFF2-40B4-BE49-F238E27FC236}">
              <a16:creationId xmlns:a16="http://schemas.microsoft.com/office/drawing/2014/main" id="{E402A71F-304B-4CEC-818D-FDA1A32F5C06}"/>
            </a:ext>
          </a:extLst>
        </xdr:cNvPr>
        <xdr:cNvSpPr/>
      </xdr:nvSpPr>
      <xdr:spPr>
        <a:xfrm rot="16200000">
          <a:off x="8009573" y="860108"/>
          <a:ext cx="451485" cy="43053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36</xdr:row>
      <xdr:rowOff>142875</xdr:rowOff>
    </xdr:from>
    <xdr:to>
      <xdr:col>10</xdr:col>
      <xdr:colOff>424816</xdr:colOff>
      <xdr:row>39</xdr:row>
      <xdr:rowOff>55245</xdr:rowOff>
    </xdr:to>
    <xdr:sp macro="" textlink="">
      <xdr:nvSpPr>
        <xdr:cNvPr id="91" name="Triángulo isósceles 90">
          <a:extLst>
            <a:ext uri="{FF2B5EF4-FFF2-40B4-BE49-F238E27FC236}">
              <a16:creationId xmlns:a16="http://schemas.microsoft.com/office/drawing/2014/main" id="{5A56F8D7-B688-435B-BBEA-4DE99FD1D863}"/>
            </a:ext>
          </a:extLst>
        </xdr:cNvPr>
        <xdr:cNvSpPr/>
      </xdr:nvSpPr>
      <xdr:spPr>
        <a:xfrm rot="16200000">
          <a:off x="8024814" y="1418272"/>
          <a:ext cx="46101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39</xdr:row>
      <xdr:rowOff>160020</xdr:rowOff>
    </xdr:from>
    <xdr:to>
      <xdr:col>10</xdr:col>
      <xdr:colOff>417197</xdr:colOff>
      <xdr:row>42</xdr:row>
      <xdr:rowOff>72390</xdr:rowOff>
    </xdr:to>
    <xdr:sp macro="" textlink="">
      <xdr:nvSpPr>
        <xdr:cNvPr id="92" name="Triángulo isósceles 91">
          <a:extLst>
            <a:ext uri="{FF2B5EF4-FFF2-40B4-BE49-F238E27FC236}">
              <a16:creationId xmlns:a16="http://schemas.microsoft.com/office/drawing/2014/main" id="{765021A1-123A-4B9F-8797-7DB7BE990B0D}"/>
            </a:ext>
          </a:extLst>
        </xdr:cNvPr>
        <xdr:cNvSpPr/>
      </xdr:nvSpPr>
      <xdr:spPr>
        <a:xfrm rot="16200000">
          <a:off x="8021005" y="1980247"/>
          <a:ext cx="45339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43</xdr:row>
      <xdr:rowOff>19050</xdr:rowOff>
    </xdr:from>
    <xdr:to>
      <xdr:col>10</xdr:col>
      <xdr:colOff>443866</xdr:colOff>
      <xdr:row>45</xdr:row>
      <xdr:rowOff>112395</xdr:rowOff>
    </xdr:to>
    <xdr:sp macro="" textlink="">
      <xdr:nvSpPr>
        <xdr:cNvPr id="93" name="Triángulo isósceles 92">
          <a:extLst>
            <a:ext uri="{FF2B5EF4-FFF2-40B4-BE49-F238E27FC236}">
              <a16:creationId xmlns:a16="http://schemas.microsoft.com/office/drawing/2014/main" id="{08432FAA-5CD5-430C-BC2A-5CB254F4C149}"/>
            </a:ext>
          </a:extLst>
        </xdr:cNvPr>
        <xdr:cNvSpPr/>
      </xdr:nvSpPr>
      <xdr:spPr>
        <a:xfrm rot="16200000">
          <a:off x="8044816" y="2564130"/>
          <a:ext cx="459105" cy="42862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10</xdr:col>
      <xdr:colOff>561975</xdr:colOff>
      <xdr:row>34</xdr:row>
      <xdr:rowOff>74295</xdr:rowOff>
    </xdr:from>
    <xdr:to>
      <xdr:col>11</xdr:col>
      <xdr:colOff>40005</xdr:colOff>
      <xdr:row>34</xdr:row>
      <xdr:rowOff>123825</xdr:rowOff>
    </xdr:to>
    <xdr:sp macro="" textlink="">
      <xdr:nvSpPr>
        <xdr:cNvPr id="94" name="Flecha: a la derecha 93">
          <a:extLst>
            <a:ext uri="{FF2B5EF4-FFF2-40B4-BE49-F238E27FC236}">
              <a16:creationId xmlns:a16="http://schemas.microsoft.com/office/drawing/2014/main" id="{7C2E4D11-2255-E775-0897-638BE14B230D}"/>
            </a:ext>
          </a:extLst>
        </xdr:cNvPr>
        <xdr:cNvSpPr/>
      </xdr:nvSpPr>
      <xdr:spPr>
        <a:xfrm>
          <a:off x="8610600" y="7018020"/>
          <a:ext cx="268605" cy="4953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514350</xdr:colOff>
      <xdr:row>37</xdr:row>
      <xdr:rowOff>47625</xdr:rowOff>
    </xdr:from>
    <xdr:to>
      <xdr:col>10</xdr:col>
      <xdr:colOff>788670</xdr:colOff>
      <xdr:row>37</xdr:row>
      <xdr:rowOff>106680</xdr:rowOff>
    </xdr:to>
    <xdr:sp macro="" textlink="">
      <xdr:nvSpPr>
        <xdr:cNvPr id="95" name="Flecha: a la derecha 94">
          <a:extLst>
            <a:ext uri="{FF2B5EF4-FFF2-40B4-BE49-F238E27FC236}">
              <a16:creationId xmlns:a16="http://schemas.microsoft.com/office/drawing/2014/main" id="{96796A54-FDD9-4D85-8941-D31B8144D187}"/>
            </a:ext>
          </a:extLst>
        </xdr:cNvPr>
        <xdr:cNvSpPr/>
      </xdr:nvSpPr>
      <xdr:spPr>
        <a:xfrm>
          <a:off x="8562975" y="7534275"/>
          <a:ext cx="27432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523875</xdr:colOff>
      <xdr:row>41</xdr:row>
      <xdr:rowOff>76200</xdr:rowOff>
    </xdr:from>
    <xdr:to>
      <xdr:col>11</xdr:col>
      <xdr:colOff>11430</xdr:colOff>
      <xdr:row>41</xdr:row>
      <xdr:rowOff>135255</xdr:rowOff>
    </xdr:to>
    <xdr:sp macro="" textlink="">
      <xdr:nvSpPr>
        <xdr:cNvPr id="97" name="Flecha: a la derecha 96">
          <a:extLst>
            <a:ext uri="{FF2B5EF4-FFF2-40B4-BE49-F238E27FC236}">
              <a16:creationId xmlns:a16="http://schemas.microsoft.com/office/drawing/2014/main" id="{B78C2D66-1AF6-47E6-A105-5AF94D0EC0FF}"/>
            </a:ext>
          </a:extLst>
        </xdr:cNvPr>
        <xdr:cNvSpPr/>
      </xdr:nvSpPr>
      <xdr:spPr>
        <a:xfrm>
          <a:off x="8572500" y="828675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544830</xdr:colOff>
      <xdr:row>44</xdr:row>
      <xdr:rowOff>57150</xdr:rowOff>
    </xdr:from>
    <xdr:to>
      <xdr:col>11</xdr:col>
      <xdr:colOff>26670</xdr:colOff>
      <xdr:row>44</xdr:row>
      <xdr:rowOff>112395</xdr:rowOff>
    </xdr:to>
    <xdr:sp macro="" textlink="">
      <xdr:nvSpPr>
        <xdr:cNvPr id="98" name="Flecha: a la derecha 97">
          <a:extLst>
            <a:ext uri="{FF2B5EF4-FFF2-40B4-BE49-F238E27FC236}">
              <a16:creationId xmlns:a16="http://schemas.microsoft.com/office/drawing/2014/main" id="{90562DB0-FDF4-4352-9926-65394218C534}"/>
            </a:ext>
          </a:extLst>
        </xdr:cNvPr>
        <xdr:cNvSpPr/>
      </xdr:nvSpPr>
      <xdr:spPr>
        <a:xfrm>
          <a:off x="8593455" y="8810625"/>
          <a:ext cx="272415" cy="5524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438150</xdr:colOff>
      <xdr:row>49</xdr:row>
      <xdr:rowOff>76200</xdr:rowOff>
    </xdr:from>
    <xdr:to>
      <xdr:col>7</xdr:col>
      <xdr:colOff>716280</xdr:colOff>
      <xdr:row>49</xdr:row>
      <xdr:rowOff>135255</xdr:rowOff>
    </xdr:to>
    <xdr:sp macro="" textlink="">
      <xdr:nvSpPr>
        <xdr:cNvPr id="99" name="Flecha: a la derecha 98">
          <a:extLst>
            <a:ext uri="{FF2B5EF4-FFF2-40B4-BE49-F238E27FC236}">
              <a16:creationId xmlns:a16="http://schemas.microsoft.com/office/drawing/2014/main" id="{DBFEC8EF-EC84-4347-9CAC-4C2202B09303}"/>
            </a:ext>
          </a:extLst>
        </xdr:cNvPr>
        <xdr:cNvSpPr/>
      </xdr:nvSpPr>
      <xdr:spPr>
        <a:xfrm>
          <a:off x="6000750" y="973455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723900</xdr:colOff>
      <xdr:row>1</xdr:row>
      <xdr:rowOff>48260</xdr:rowOff>
    </xdr:from>
    <xdr:to>
      <xdr:col>19</xdr:col>
      <xdr:colOff>762000</xdr:colOff>
      <xdr:row>26</xdr:row>
      <xdr:rowOff>71120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925B7E8-ABC9-4FBF-956F-779E6696D456}"/>
            </a:ext>
          </a:extLst>
        </xdr:cNvPr>
        <xdr:cNvSpPr txBox="1"/>
      </xdr:nvSpPr>
      <xdr:spPr>
        <a:xfrm>
          <a:off x="8796020" y="231140"/>
          <a:ext cx="7663180" cy="4645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base" latinLnBrk="0" hangingPunct="1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Falabella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considera la posibilidad de construir una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bodega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adicional para su almacenamiento. </a:t>
          </a:r>
          <a:endParaRPr lang="es-CL" sz="1100">
            <a:effectLst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la actualidad, la compañía considera dos opciones:</a:t>
          </a:r>
          <a:endParaRPr lang="es-CL" sz="1100">
            <a:effectLst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La primera es una </a:t>
          </a:r>
          <a:r>
            <a:rPr lang="es-E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instalación pequeña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Cuya edificación </a:t>
          </a:r>
          <a:r>
            <a:rPr lang="es-E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costaría 6 millones 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pesos. </a:t>
          </a:r>
          <a:endParaRPr lang="es-CL" sz="1100">
            <a:effectLst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de los nuevos productos es floja,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 		la compañía espera </a:t>
          </a:r>
          <a:r>
            <a:rPr lang="es-E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recibir 10 millones 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 forma de ingresos descontados 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(valor presente de ingresos futuros) con la bodega pequeña. </a:t>
          </a:r>
          <a:endParaRPr lang="es-CL" sz="1100">
            <a:effectLst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Por otro lado, si la demanda es mucha,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 </a:t>
          </a:r>
          <a:r>
            <a:rPr lang="es-E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espera 12 millones 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pesos por concepto de Ingresos descontados con la bodega 				pequeña.</a:t>
          </a:r>
          <a:endParaRPr lang="es-CL" sz="1100">
            <a:effectLst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La segunda opción es construir una </a:t>
          </a:r>
          <a:r>
            <a:rPr lang="es-E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bodega grande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con un </a:t>
          </a:r>
          <a:r>
            <a:rPr lang="es-E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costo de 9 millones 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pesos. </a:t>
          </a:r>
          <a:endParaRPr lang="es-CL" sz="1100">
            <a:effectLst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fuera poca, 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la compañía </a:t>
          </a:r>
          <a:r>
            <a:rPr lang="es-E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esperaría 10 millones 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ingresos descontados con la 				planta grande. </a:t>
          </a:r>
          <a:endParaRPr lang="es-CL" sz="1100">
            <a:effectLst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es mucha, 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la compañía estima que los ingresos descontados </a:t>
          </a:r>
          <a:r>
            <a:rPr lang="es-E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sumarían 14 millones 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l"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En los dos casos,</a:t>
          </a:r>
        </a:p>
        <a:p>
          <a:pPr algn="l"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 la probabilidad de que la </a:t>
          </a:r>
          <a:r>
            <a:rPr lang="es-E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demanda sea mucha es 0.40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</a:p>
        <a:p>
          <a:pPr algn="l"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y la probabilidad de que </a:t>
          </a:r>
          <a:r>
            <a:rPr lang="es-E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sea poca, 0.60.</a:t>
          </a:r>
          <a:endParaRPr lang="es-CL" sz="1100" u="sng">
            <a:effectLst/>
          </a:endParaRPr>
        </a:p>
        <a:p>
          <a:pPr rtl="0" eaLnBrk="1" fontAlgn="base" latinLnBrk="0" hangingPunct="1"/>
          <a:endParaRPr lang="es-E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Si </a:t>
          </a:r>
          <a:r>
            <a:rPr lang="es-E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 se  construye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una nueva bodega no se generarían ingresos adicionales </a:t>
          </a: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porque las bodegas existentes no pueden almacenar nuevos productos.</a:t>
          </a:r>
        </a:p>
        <a:p>
          <a:pPr rtl="0" eaLnBrk="1" fontAlgn="base" latinLnBrk="0" hangingPunct="1"/>
          <a:endParaRPr lang="es-CL" sz="1100">
            <a:effectLst/>
          </a:endParaRPr>
        </a:p>
        <a:p>
          <a:pPr rtl="0" eaLnBrk="1" fontAlgn="base" latinLnBrk="0" hangingPunct="1"/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Elabore </a:t>
          </a:r>
          <a:r>
            <a:rPr lang="es-E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 árbol de decisión</a:t>
          </a:r>
          <a: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que ayude a Falabella a determinar la mejor opción.</a:t>
          </a:r>
          <a:endParaRPr lang="es-CL" sz="1100">
            <a:effectLst/>
          </a:endParaRPr>
        </a:p>
        <a:p>
          <a:endParaRPr lang="es-CL" sz="1200"/>
        </a:p>
      </xdr:txBody>
    </xdr:sp>
    <xdr:clientData/>
  </xdr:twoCellAnchor>
  <xdr:twoCellAnchor>
    <xdr:from>
      <xdr:col>7</xdr:col>
      <xdr:colOff>863600</xdr:colOff>
      <xdr:row>36</xdr:row>
      <xdr:rowOff>162560</xdr:rowOff>
    </xdr:from>
    <xdr:to>
      <xdr:col>8</xdr:col>
      <xdr:colOff>30480</xdr:colOff>
      <xdr:row>38</xdr:row>
      <xdr:rowOff>96520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3FD9691E-5E63-40FC-8393-392D8D73E3D4}"/>
            </a:ext>
          </a:extLst>
        </xdr:cNvPr>
        <xdr:cNvCxnSpPr/>
      </xdr:nvCxnSpPr>
      <xdr:spPr>
        <a:xfrm flipH="1">
          <a:off x="6441440" y="681736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35560</xdr:colOff>
      <xdr:row>37</xdr:row>
      <xdr:rowOff>15240</xdr:rowOff>
    </xdr:from>
    <xdr:to>
      <xdr:col>8</xdr:col>
      <xdr:colOff>111760</xdr:colOff>
      <xdr:row>38</xdr:row>
      <xdr:rowOff>132080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112D0C87-5C70-4DAD-8F74-EAA4D16EA6B9}"/>
            </a:ext>
          </a:extLst>
        </xdr:cNvPr>
        <xdr:cNvCxnSpPr/>
      </xdr:nvCxnSpPr>
      <xdr:spPr>
        <a:xfrm flipH="1">
          <a:off x="6522720" y="685292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360680</xdr:colOff>
      <xdr:row>42</xdr:row>
      <xdr:rowOff>10160</xdr:rowOff>
    </xdr:from>
    <xdr:to>
      <xdr:col>4</xdr:col>
      <xdr:colOff>436880</xdr:colOff>
      <xdr:row>43</xdr:row>
      <xdr:rowOff>127000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02B5D064-3BFD-45C5-AF75-BCB3625A22C5}"/>
            </a:ext>
          </a:extLst>
        </xdr:cNvPr>
        <xdr:cNvCxnSpPr/>
      </xdr:nvCxnSpPr>
      <xdr:spPr>
        <a:xfrm flipH="1">
          <a:off x="3530600" y="77622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441960</xdr:colOff>
      <xdr:row>42</xdr:row>
      <xdr:rowOff>45720</xdr:rowOff>
    </xdr:from>
    <xdr:to>
      <xdr:col>4</xdr:col>
      <xdr:colOff>518160</xdr:colOff>
      <xdr:row>43</xdr:row>
      <xdr:rowOff>162560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AC02705B-8436-45B0-9CF7-D03326D4B87F}"/>
            </a:ext>
          </a:extLst>
        </xdr:cNvPr>
        <xdr:cNvCxnSpPr/>
      </xdr:nvCxnSpPr>
      <xdr:spPr>
        <a:xfrm flipH="1">
          <a:off x="3611880" y="77978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396240</xdr:colOff>
      <xdr:row>46</xdr:row>
      <xdr:rowOff>106680</xdr:rowOff>
    </xdr:from>
    <xdr:to>
      <xdr:col>4</xdr:col>
      <xdr:colOff>472440</xdr:colOff>
      <xdr:row>48</xdr:row>
      <xdr:rowOff>40640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D4D17498-22AF-45DC-A9E0-D7DEC01EF702}"/>
            </a:ext>
          </a:extLst>
        </xdr:cNvPr>
        <xdr:cNvCxnSpPr/>
      </xdr:nvCxnSpPr>
      <xdr:spPr>
        <a:xfrm flipH="1">
          <a:off x="3566160" y="859028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477520</xdr:colOff>
      <xdr:row>46</xdr:row>
      <xdr:rowOff>142240</xdr:rowOff>
    </xdr:from>
    <xdr:to>
      <xdr:col>4</xdr:col>
      <xdr:colOff>553720</xdr:colOff>
      <xdr:row>48</xdr:row>
      <xdr:rowOff>76200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FB97681A-FBC2-470E-AB31-5E1600444220}"/>
            </a:ext>
          </a:extLst>
        </xdr:cNvPr>
        <xdr:cNvCxnSpPr/>
      </xdr:nvCxnSpPr>
      <xdr:spPr>
        <a:xfrm flipH="1">
          <a:off x="3647440" y="86258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863600</xdr:colOff>
      <xdr:row>40</xdr:row>
      <xdr:rowOff>172720</xdr:rowOff>
    </xdr:from>
    <xdr:to>
      <xdr:col>8</xdr:col>
      <xdr:colOff>30480</xdr:colOff>
      <xdr:row>42</xdr:row>
      <xdr:rowOff>106680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FFD192D9-EE04-4E37-9ADF-7F5BB46ED579}"/>
            </a:ext>
          </a:extLst>
        </xdr:cNvPr>
        <xdr:cNvCxnSpPr/>
      </xdr:nvCxnSpPr>
      <xdr:spPr>
        <a:xfrm flipH="1">
          <a:off x="6441440" y="75590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35560</xdr:colOff>
      <xdr:row>41</xdr:row>
      <xdr:rowOff>25400</xdr:rowOff>
    </xdr:from>
    <xdr:to>
      <xdr:col>8</xdr:col>
      <xdr:colOff>111760</xdr:colOff>
      <xdr:row>42</xdr:row>
      <xdr:rowOff>142240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E4041587-589E-4D06-B3A4-FBBD11E6CF58}"/>
            </a:ext>
          </a:extLst>
        </xdr:cNvPr>
        <xdr:cNvCxnSpPr/>
      </xdr:nvCxnSpPr>
      <xdr:spPr>
        <a:xfrm flipH="1">
          <a:off x="6522720" y="75946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43</xdr:row>
      <xdr:rowOff>5080</xdr:rowOff>
    </xdr:from>
    <xdr:to>
      <xdr:col>8</xdr:col>
      <xdr:colOff>101600</xdr:colOff>
      <xdr:row>44</xdr:row>
      <xdr:rowOff>121920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94424BA6-9FFA-4FFF-9F6E-06AEF6244714}"/>
            </a:ext>
          </a:extLst>
        </xdr:cNvPr>
        <xdr:cNvCxnSpPr/>
      </xdr:nvCxnSpPr>
      <xdr:spPr>
        <a:xfrm flipH="1">
          <a:off x="6512560" y="79400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106680</xdr:colOff>
      <xdr:row>43</xdr:row>
      <xdr:rowOff>40640</xdr:rowOff>
    </xdr:from>
    <xdr:to>
      <xdr:col>8</xdr:col>
      <xdr:colOff>182880</xdr:colOff>
      <xdr:row>44</xdr:row>
      <xdr:rowOff>157480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2DBB28B7-1AC4-486A-B85E-D15239FBBE4F}"/>
            </a:ext>
          </a:extLst>
        </xdr:cNvPr>
        <xdr:cNvCxnSpPr/>
      </xdr:nvCxnSpPr>
      <xdr:spPr>
        <a:xfrm flipH="1">
          <a:off x="6593840" y="79756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339BB-6AF5-4339-88D2-C57A3573FF53}">
  <dimension ref="B6:P54"/>
  <sheetViews>
    <sheetView tabSelected="1" topLeftCell="C26" zoomScale="150" zoomScaleNormal="150" workbookViewId="0">
      <selection activeCell="N39" sqref="N39"/>
    </sheetView>
  </sheetViews>
  <sheetFormatPr baseColWidth="10" defaultRowHeight="14.4" x14ac:dyDescent="0.3"/>
  <cols>
    <col min="6" max="6" width="12" bestFit="1" customWidth="1"/>
    <col min="8" max="8" width="13.21875" customWidth="1"/>
    <col min="9" max="9" width="11.5546875" customWidth="1"/>
    <col min="14" max="14" width="15.77734375" customWidth="1"/>
    <col min="16" max="16" width="12.5546875" bestFit="1" customWidth="1"/>
  </cols>
  <sheetData>
    <row r="6" spans="2:9" x14ac:dyDescent="0.3">
      <c r="I6" s="18" t="s">
        <v>14</v>
      </c>
    </row>
    <row r="8" spans="2:9" x14ac:dyDescent="0.3">
      <c r="F8" s="18" t="s">
        <v>0</v>
      </c>
    </row>
    <row r="9" spans="2:9" x14ac:dyDescent="0.3">
      <c r="I9" s="18" t="s">
        <v>15</v>
      </c>
    </row>
    <row r="12" spans="2:9" x14ac:dyDescent="0.3">
      <c r="I12" s="18" t="s">
        <v>14</v>
      </c>
    </row>
    <row r="14" spans="2:9" x14ac:dyDescent="0.3">
      <c r="B14" s="1" t="s">
        <v>3</v>
      </c>
      <c r="F14" s="18" t="s">
        <v>1</v>
      </c>
    </row>
    <row r="15" spans="2:9" x14ac:dyDescent="0.3">
      <c r="I15" s="18" t="s">
        <v>15</v>
      </c>
    </row>
    <row r="20" spans="3:8" x14ac:dyDescent="0.3">
      <c r="F20" s="18" t="s">
        <v>2</v>
      </c>
    </row>
    <row r="22" spans="3:8" ht="15" thickBot="1" x14ac:dyDescent="0.35"/>
    <row r="23" spans="3:8" ht="15" thickBot="1" x14ac:dyDescent="0.35">
      <c r="C23" s="19" t="s">
        <v>4</v>
      </c>
      <c r="D23" s="20"/>
      <c r="E23" s="21"/>
      <c r="F23" s="14" t="s">
        <v>9</v>
      </c>
      <c r="G23" s="14" t="s">
        <v>10</v>
      </c>
      <c r="H23" s="14" t="s">
        <v>11</v>
      </c>
    </row>
    <row r="24" spans="3:8" ht="15" thickBot="1" x14ac:dyDescent="0.35">
      <c r="C24" s="5" t="s">
        <v>5</v>
      </c>
      <c r="D24" s="6"/>
      <c r="E24" s="7"/>
      <c r="F24" s="23">
        <v>12000000</v>
      </c>
      <c r="G24" s="23">
        <v>6000000</v>
      </c>
      <c r="H24" s="25">
        <f>F24-G24</f>
        <v>6000000</v>
      </c>
    </row>
    <row r="25" spans="3:8" ht="15" thickBot="1" x14ac:dyDescent="0.35">
      <c r="C25" s="5" t="s">
        <v>6</v>
      </c>
      <c r="D25" s="6"/>
      <c r="E25" s="7"/>
      <c r="F25" s="23">
        <v>10000000</v>
      </c>
      <c r="G25" s="23">
        <v>6000000</v>
      </c>
      <c r="H25" s="25">
        <f t="shared" ref="H25:H27" si="0">F25-G25</f>
        <v>4000000</v>
      </c>
    </row>
    <row r="26" spans="3:8" ht="15" thickBot="1" x14ac:dyDescent="0.35">
      <c r="C26" s="8" t="s">
        <v>7</v>
      </c>
      <c r="D26" s="9"/>
      <c r="E26" s="10"/>
      <c r="F26" s="23">
        <v>14000000</v>
      </c>
      <c r="G26" s="23">
        <v>9000000</v>
      </c>
      <c r="H26" s="25">
        <f t="shared" si="0"/>
        <v>5000000</v>
      </c>
    </row>
    <row r="27" spans="3:8" ht="15" thickBot="1" x14ac:dyDescent="0.35">
      <c r="C27" s="5" t="s">
        <v>8</v>
      </c>
      <c r="D27" s="6"/>
      <c r="E27" s="7"/>
      <c r="F27" s="24">
        <v>10000000</v>
      </c>
      <c r="G27" s="22">
        <v>9000000</v>
      </c>
      <c r="H27" s="25">
        <f t="shared" si="0"/>
        <v>1000000</v>
      </c>
    </row>
    <row r="28" spans="3:8" ht="15" thickBot="1" x14ac:dyDescent="0.35">
      <c r="C28" s="11" t="s">
        <v>12</v>
      </c>
      <c r="D28" s="12"/>
      <c r="E28" s="13"/>
      <c r="F28" s="4">
        <v>0</v>
      </c>
      <c r="G28" s="4">
        <v>0</v>
      </c>
      <c r="H28" s="4">
        <v>0</v>
      </c>
    </row>
    <row r="33" spans="2:16" x14ac:dyDescent="0.3">
      <c r="L33" t="s">
        <v>22</v>
      </c>
    </row>
    <row r="34" spans="2:16" x14ac:dyDescent="0.3">
      <c r="J34" s="3">
        <v>0.4</v>
      </c>
      <c r="N34" s="3" t="s">
        <v>16</v>
      </c>
      <c r="O34" s="3" t="s">
        <v>17</v>
      </c>
    </row>
    <row r="35" spans="2:16" x14ac:dyDescent="0.3">
      <c r="I35" s="1" t="s">
        <v>14</v>
      </c>
      <c r="L35" s="15">
        <f>H24</f>
        <v>6000000</v>
      </c>
      <c r="N35" t="s">
        <v>18</v>
      </c>
      <c r="O35" s="26">
        <f>N36</f>
        <v>2400000</v>
      </c>
    </row>
    <row r="36" spans="2:16" x14ac:dyDescent="0.3">
      <c r="L36" s="16"/>
      <c r="N36" s="27">
        <f>L35*J34</f>
        <v>2400000</v>
      </c>
      <c r="O36" s="26"/>
      <c r="P36" s="15">
        <f>O35+O38</f>
        <v>4800000</v>
      </c>
    </row>
    <row r="37" spans="2:16" x14ac:dyDescent="0.3">
      <c r="F37" s="1" t="s">
        <v>0</v>
      </c>
      <c r="I37" s="17">
        <v>4800000</v>
      </c>
      <c r="J37" s="3">
        <v>0.6</v>
      </c>
      <c r="L37" s="16"/>
      <c r="O37" s="26"/>
    </row>
    <row r="38" spans="2:16" x14ac:dyDescent="0.3">
      <c r="I38" s="1" t="s">
        <v>15</v>
      </c>
      <c r="L38" s="15">
        <f>H25</f>
        <v>4000000</v>
      </c>
      <c r="N38" t="s">
        <v>19</v>
      </c>
      <c r="O38" s="26">
        <f>N39</f>
        <v>2400000</v>
      </c>
    </row>
    <row r="39" spans="2:16" x14ac:dyDescent="0.3">
      <c r="L39" s="16"/>
      <c r="N39" s="2">
        <f>L38*J37</f>
        <v>2400000</v>
      </c>
      <c r="O39" s="26"/>
    </row>
    <row r="40" spans="2:16" x14ac:dyDescent="0.3">
      <c r="J40" s="3">
        <v>0.4</v>
      </c>
      <c r="L40" s="16"/>
      <c r="O40" s="26"/>
    </row>
    <row r="41" spans="2:16" x14ac:dyDescent="0.3">
      <c r="I41" s="1" t="s">
        <v>14</v>
      </c>
      <c r="L41" s="16"/>
      <c r="O41" s="26"/>
    </row>
    <row r="42" spans="2:16" x14ac:dyDescent="0.3">
      <c r="L42" s="15">
        <f>H26</f>
        <v>5000000</v>
      </c>
      <c r="N42" t="s">
        <v>20</v>
      </c>
      <c r="O42" s="26">
        <f>N43</f>
        <v>2000000</v>
      </c>
    </row>
    <row r="43" spans="2:16" x14ac:dyDescent="0.3">
      <c r="B43" s="1" t="s">
        <v>3</v>
      </c>
      <c r="F43" s="1" t="s">
        <v>1</v>
      </c>
      <c r="I43" s="17">
        <v>2600000</v>
      </c>
      <c r="J43" s="3">
        <v>0.6</v>
      </c>
      <c r="L43" s="16"/>
      <c r="N43" s="2">
        <f>L42*J40</f>
        <v>2000000</v>
      </c>
      <c r="O43" s="26"/>
    </row>
    <row r="44" spans="2:16" x14ac:dyDescent="0.3">
      <c r="I44" s="1" t="s">
        <v>15</v>
      </c>
      <c r="L44" s="16"/>
      <c r="O44" s="26"/>
      <c r="P44" s="15">
        <f>O42+O45</f>
        <v>2600000</v>
      </c>
    </row>
    <row r="45" spans="2:16" x14ac:dyDescent="0.3">
      <c r="L45" s="15">
        <f>H27</f>
        <v>1000000</v>
      </c>
      <c r="N45" t="s">
        <v>21</v>
      </c>
      <c r="O45" s="26">
        <v>600000</v>
      </c>
    </row>
    <row r="46" spans="2:16" x14ac:dyDescent="0.3">
      <c r="L46" s="2"/>
      <c r="N46" s="2">
        <f>L45*J43</f>
        <v>600000</v>
      </c>
    </row>
    <row r="49" spans="3:8" x14ac:dyDescent="0.3">
      <c r="F49" s="1" t="s">
        <v>2</v>
      </c>
    </row>
    <row r="50" spans="3:8" x14ac:dyDescent="0.3">
      <c r="H50" s="17">
        <v>0</v>
      </c>
    </row>
    <row r="54" spans="3:8" x14ac:dyDescent="0.3">
      <c r="C54" s="18" t="s">
        <v>13</v>
      </c>
    </row>
  </sheetData>
  <mergeCells count="1">
    <mergeCell ref="C23:E2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Ejercicio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ALEXANDRA/PATRICIA ALARCÓN VÁSQUEZ</dc:creator>
  <cp:lastModifiedBy>Janvera Videla</cp:lastModifiedBy>
  <dcterms:created xsi:type="dcterms:W3CDTF">2023-12-15T23:19:28Z</dcterms:created>
  <dcterms:modified xsi:type="dcterms:W3CDTF">2023-12-16T01:04:39Z</dcterms:modified>
</cp:coreProperties>
</file>